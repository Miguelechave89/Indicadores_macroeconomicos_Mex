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tables/table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5" tabRatio="600" firstSheet="1" activeTab="6" autoFilterDateGrouping="1"/>
  </bookViews>
  <sheets>
    <sheet name="Síntesis de coyuntura" sheetId="1" state="visible" r:id="rId1"/>
    <sheet name="PIB" sheetId="2" state="visible" r:id="rId2"/>
    <sheet name="PIB Sectorial" sheetId="3" state="visible" r:id="rId3"/>
    <sheet name="IGAE" sheetId="4" state="visible" r:id="rId4"/>
    <sheet name="IMAI" sheetId="5" state="visible" r:id="rId5"/>
    <sheet name="Exportaciones" sheetId="6" state="hidden" r:id="rId6"/>
    <sheet name="Balanza comercial" sheetId="7" state="visible" r:id="rId7"/>
    <sheet name="Consumo Privado" sheetId="8" state="visible" r:id="rId8"/>
    <sheet name="IED" sheetId="9" state="visible" r:id="rId9"/>
    <sheet name="Tasa de desocupación" sheetId="10" state="visible" r:id="rId10"/>
    <sheet name="INPC (Inflación)" sheetId="11" state="visible" r:id="rId11"/>
    <sheet name="Formación bruta capital fijo" sheetId="12" state="visible" r:id="rId12"/>
    <sheet name="IOAE" sheetId="13" state="visible" r:id="rId13"/>
    <sheet name="EMIM (Manufactura)" sheetId="14" state="visible" r:id="rId14"/>
    <sheet name="Metodología y fuentes" sheetId="15" state="visible" r:id="rId15"/>
    <sheet name="Control de actualizaciones" sheetId="16" state="visible" r:id="rId16"/>
  </sheets>
  <definedNames/>
  <calcPr calcId="191029" fullCalcOnLoad="1"/>
</workbook>
</file>

<file path=xl/styles.xml><?xml version="1.0" encoding="utf-8"?>
<styleSheet xmlns="http://schemas.openxmlformats.org/spreadsheetml/2006/main">
  <numFmts count="4">
    <numFmt numFmtId="164" formatCode="#,##0.0"/>
    <numFmt numFmtId="165" formatCode="_-&quot;$&quot;* #,##0_-;\-&quot;$&quot;* #,##0_-;_-&quot;$&quot;* &quot;-&quot;??_-;_-@_-"/>
    <numFmt numFmtId="166" formatCode="0.0"/>
    <numFmt numFmtId="167" formatCode="0.0%"/>
  </numFmts>
  <fonts count="20">
    <font>
      <name val="Calibri"/>
      <family val="2"/>
      <color theme="1"/>
      <sz val="11"/>
      <scheme val="minor"/>
    </font>
    <font>
      <name val="Calibri"/>
      <family val="2"/>
      <color theme="1"/>
      <sz val="11"/>
      <scheme val="minor"/>
    </font>
    <font>
      <name val="Noto Sans"/>
      <family val="2"/>
      <b val="1"/>
      <color theme="1"/>
      <sz val="11"/>
    </font>
    <font>
      <name val="Noto Sans"/>
      <family val="2"/>
      <color theme="1"/>
      <sz val="11"/>
    </font>
    <font>
      <name val="Calibri"/>
      <family val="2"/>
      <b val="1"/>
      <color theme="1"/>
      <sz val="12"/>
      <scheme val="minor"/>
    </font>
    <font>
      <name val="Noto Sans"/>
      <family val="2"/>
      <color theme="1"/>
      <sz val="10"/>
    </font>
    <font>
      <name val="Noto Sans"/>
      <family val="2"/>
      <color rgb="FF2E3438"/>
      <sz val="10"/>
    </font>
    <font>
      <name val="Noto Sans"/>
      <family val="2"/>
      <b val="1"/>
      <color theme="0"/>
      <sz val="10"/>
    </font>
    <font>
      <name val="Arial"/>
      <family val="2"/>
      <color theme="0"/>
      <sz val="7"/>
    </font>
    <font>
      <name val="Noto Sans"/>
      <family val="2"/>
      <b val="1"/>
      <color theme="1"/>
      <sz val="10"/>
    </font>
    <font>
      <name val="Noto Sans"/>
      <family val="2"/>
      <b val="1"/>
      <color theme="0"/>
      <sz val="7"/>
    </font>
    <font>
      <name val="Noto Sans"/>
      <family val="2"/>
      <b val="1"/>
      <color theme="0"/>
      <sz val="8"/>
    </font>
    <font>
      <name val="Noto Sans"/>
      <family val="2"/>
      <b val="1"/>
      <color rgb="FF2E3438"/>
      <sz val="9"/>
    </font>
    <font>
      <name val="Calibri"/>
      <family val="2"/>
      <b val="1"/>
      <color theme="1"/>
      <sz val="11"/>
      <scheme val="minor"/>
    </font>
    <font>
      <name val="Noto Sans"/>
      <b val="1"/>
      <color theme="0"/>
      <sz val="8"/>
    </font>
    <font>
      <name val="Calibri"/>
      <b val="1"/>
      <color rgb="FF002F2A"/>
      <sz val="15"/>
    </font>
    <font>
      <name val="Calibri"/>
      <i val="1"/>
      <color rgb="FF6C6F6A"/>
      <sz val="9"/>
    </font>
    <font>
      <name val="Calibri"/>
      <b val="1"/>
      <color rgb="FFFFFFFF"/>
      <sz val="11"/>
    </font>
    <font>
      <name val="Calibri"/>
      <color rgb="FF161A1D"/>
      <sz val="10"/>
    </font>
    <font>
      <name val="Calibri"/>
      <b val="1"/>
      <color rgb="FF002F2A"/>
      <sz val="10"/>
    </font>
  </fonts>
  <fills count="10">
    <fill>
      <patternFill/>
    </fill>
    <fill>
      <patternFill patternType="gray125"/>
    </fill>
    <fill>
      <patternFill patternType="solid">
        <fgColor rgb="FFFFFFFF"/>
        <bgColor indexed="64"/>
      </patternFill>
    </fill>
    <fill>
      <patternFill patternType="solid">
        <fgColor theme="0" tint="-0.1499984740745262"/>
        <bgColor indexed="64"/>
      </patternFill>
    </fill>
    <fill>
      <patternFill patternType="solid">
        <fgColor rgb="FF1E5B4F"/>
        <bgColor indexed="64"/>
      </patternFill>
    </fill>
    <fill>
      <patternFill patternType="solid">
        <fgColor rgb="FF002F2A"/>
        <bgColor indexed="64"/>
      </patternFill>
    </fill>
    <fill>
      <patternFill patternType="solid">
        <fgColor theme="0" tint="-0.249977111117893"/>
        <bgColor indexed="64"/>
      </patternFill>
    </fill>
    <fill>
      <patternFill patternType="solid">
        <fgColor rgb="FF002F2A"/>
      </patternFill>
    </fill>
    <fill>
      <patternFill patternType="solid">
        <fgColor rgb="FFF7F5EF"/>
      </patternFill>
    </fill>
    <fill>
      <patternFill patternType="solid">
        <fgColor rgb="FFF6E2E8"/>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rgb="FF1E5B4F"/>
      </left>
      <right style="thin">
        <color rgb="FF1E5B4F"/>
      </right>
      <top style="thin">
        <color rgb="FF1E5B4F"/>
      </top>
      <bottom style="thin">
        <color rgb="FF1E5B4F"/>
      </bottom>
      <diagonal/>
    </border>
    <border>
      <left style="thin">
        <color rgb="FF002F2A"/>
      </left>
      <right style="thin">
        <color rgb="FF002F2A"/>
      </right>
      <top style="thin">
        <color rgb="FF002F2A"/>
      </top>
      <bottom style="thin">
        <color rgb="FF002F2A"/>
      </bottom>
      <diagonal/>
    </border>
    <border>
      <left/>
      <right style="thin">
        <color rgb="FF1E5B4F"/>
      </right>
      <top style="thin">
        <color rgb="FF1E5B4F"/>
      </top>
      <bottom style="thin">
        <color rgb="FF1E5B4F"/>
      </bottom>
      <diagonal/>
    </border>
    <border>
      <left style="thin">
        <color rgb="FF1E5B4F"/>
      </left>
      <right style="thin">
        <color rgb="FF1E5B4F"/>
      </right>
      <top style="thin">
        <color rgb="FF1E5B4F"/>
      </top>
      <bottom/>
      <diagonal/>
    </border>
    <border>
      <left/>
      <right/>
      <top style="thin">
        <color rgb="FF1E5B4F"/>
      </top>
      <bottom/>
      <diagonal/>
    </border>
    <border>
      <left style="thin">
        <color rgb="FF002F2A"/>
      </left>
      <right/>
      <top style="thin">
        <color rgb="FF1E5B4F"/>
      </top>
      <bottom style="thin">
        <color rgb="FF1E5B4F"/>
      </bottom>
      <diagonal/>
    </border>
    <border>
      <left/>
      <right/>
      <top style="thin">
        <color rgb="FF1E5B4F"/>
      </top>
      <bottom style="thin">
        <color rgb="FF1E5B4F"/>
      </bottom>
      <diagonal/>
    </border>
    <border>
      <left/>
      <right style="thin">
        <color rgb="FF1E5B4F"/>
      </right>
      <top/>
      <bottom/>
      <diagonal/>
    </border>
    <border>
      <left/>
      <right style="thin">
        <color rgb="FF1E5B4F"/>
      </right>
      <top style="thin">
        <color rgb="FF1E5B4F"/>
      </top>
      <bottom/>
      <diagonal/>
    </border>
    <border>
      <left style="thin">
        <color rgb="FF002F2A"/>
      </left>
      <right/>
      <top style="thin">
        <color rgb="FF002F2A"/>
      </top>
      <bottom style="thin">
        <color rgb="FF002F2A"/>
      </bottom>
      <diagonal/>
    </border>
    <border>
      <left style="thin">
        <color rgb="FF1E5B4F"/>
      </left>
      <right/>
      <top style="thin">
        <color rgb="FF1E5B4F"/>
      </top>
      <bottom/>
      <diagonal/>
    </border>
    <border>
      <left style="thin">
        <color rgb="FF002F2A"/>
      </left>
      <right style="thin">
        <color rgb="FF1E5B4F"/>
      </right>
      <top style="thin">
        <color rgb="FF1E5B4F"/>
      </top>
      <bottom style="thin">
        <color rgb="FF1E5B4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E6E0D2"/>
      </left>
      <right style="thin">
        <color rgb="FFE6E0D2"/>
      </right>
      <top style="thin">
        <color rgb="FFE6E0D2"/>
      </top>
      <bottom style="thin">
        <color rgb="FFE6E0D2"/>
      </bottom>
    </border>
  </borders>
  <cellStyleXfs count="3">
    <xf numFmtId="0" fontId="1" fillId="0" borderId="0"/>
    <xf numFmtId="44" fontId="1" fillId="0" borderId="0"/>
    <xf numFmtId="9" fontId="1" fillId="0" borderId="0"/>
  </cellStyleXfs>
  <cellXfs count="86">
    <xf numFmtId="0" fontId="0" fillId="0" borderId="0" pivotButton="0" quotePrefix="0" xfId="0"/>
    <xf numFmtId="164" fontId="2" fillId="3" borderId="2" applyAlignment="1" pivotButton="0" quotePrefix="0" xfId="0">
      <alignment horizontal="center" vertical="center"/>
    </xf>
    <xf numFmtId="164" fontId="2" fillId="3" borderId="0" applyAlignment="1" pivotButton="0" quotePrefix="0" xfId="0">
      <alignment horizontal="center" vertical="center"/>
    </xf>
    <xf numFmtId="164" fontId="2" fillId="3" borderId="3" applyAlignment="1" pivotButton="0" quotePrefix="0" xfId="0">
      <alignment horizontal="center" vertical="center"/>
    </xf>
    <xf numFmtId="164" fontId="0" fillId="0" borderId="0" pivotButton="0" quotePrefix="0" xfId="0"/>
    <xf numFmtId="0" fontId="0"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7" fillId="5" borderId="4" applyAlignment="1" pivotButton="0" quotePrefix="0" xfId="0">
      <alignment horizontal="center" vertical="center" wrapText="1"/>
    </xf>
    <xf numFmtId="165" fontId="6" fillId="2" borderId="6" applyAlignment="1" pivotButton="0" quotePrefix="0" xfId="1">
      <alignment horizontal="center" vertical="center"/>
    </xf>
    <xf numFmtId="0" fontId="7" fillId="5" borderId="7" applyAlignment="1" pivotButton="0" quotePrefix="0" xfId="0">
      <alignment horizontal="center" vertical="center" wrapText="1"/>
    </xf>
    <xf numFmtId="0" fontId="7" fillId="4" borderId="5" applyAlignment="1" pivotButton="0" quotePrefix="0" xfId="0">
      <alignment horizontal="center" vertical="center" wrapText="1"/>
    </xf>
    <xf numFmtId="0" fontId="6" fillId="0" borderId="0" applyAlignment="1" pivotButton="0" quotePrefix="0" xfId="0">
      <alignment horizontal="center" vertical="center"/>
    </xf>
    <xf numFmtId="0" fontId="7" fillId="5" borderId="7" applyAlignment="1" pivotButton="0" quotePrefix="0" xfId="0">
      <alignment horizontal="center" vertical="center"/>
    </xf>
    <xf numFmtId="0" fontId="7" fillId="5" borderId="11" applyAlignment="1" pivotButton="0" quotePrefix="0" xfId="0">
      <alignment horizontal="center" vertical="center" wrapText="1"/>
    </xf>
    <xf numFmtId="165" fontId="0" fillId="0" borderId="0" pivotButton="0" quotePrefix="0" xfId="0"/>
    <xf numFmtId="0" fontId="7" fillId="5" borderId="0" applyAlignment="1" pivotButton="0" quotePrefix="0" xfId="0">
      <alignment horizontal="center" vertical="center" wrapText="1"/>
    </xf>
    <xf numFmtId="0" fontId="7" fillId="4" borderId="13" applyAlignment="1" pivotButton="0" quotePrefix="0" xfId="0">
      <alignment horizontal="center" vertical="center" wrapText="1"/>
    </xf>
    <xf numFmtId="0" fontId="7" fillId="4" borderId="5" applyAlignment="1" pivotButton="0" quotePrefix="0" xfId="0">
      <alignment horizontal="right" vertical="center" wrapText="1"/>
    </xf>
    <xf numFmtId="0" fontId="7" fillId="4" borderId="0" applyAlignment="1" pivotButton="0" quotePrefix="0" xfId="0">
      <alignment horizontal="right" vertical="center" wrapText="1"/>
    </xf>
    <xf numFmtId="10" fontId="6" fillId="2" borderId="1" applyAlignment="1" pivotButton="0" quotePrefix="0" xfId="1">
      <alignment horizontal="center" vertical="center"/>
    </xf>
    <xf numFmtId="166" fontId="0" fillId="0" borderId="1" applyAlignment="1" pivotButton="0" quotePrefix="0" xfId="0">
      <alignment horizontal="center"/>
    </xf>
    <xf numFmtId="0" fontId="7" fillId="4" borderId="13" applyAlignment="1" pivotButton="0" quotePrefix="0" xfId="0">
      <alignment horizontal="right" vertical="center" wrapText="1"/>
    </xf>
    <xf numFmtId="0" fontId="0" fillId="0" borderId="0" applyAlignment="1" pivotButton="0" quotePrefix="0" xfId="0">
      <alignment wrapText="1"/>
    </xf>
    <xf numFmtId="0" fontId="7" fillId="0" borderId="0" applyAlignment="1" pivotButton="0" quotePrefix="0" xfId="0">
      <alignment horizontal="center" vertical="center" wrapText="1"/>
    </xf>
    <xf numFmtId="0" fontId="5" fillId="0" borderId="0" pivotButton="0" quotePrefix="0" xfId="0"/>
    <xf numFmtId="0" fontId="7" fillId="5" borderId="14" applyAlignment="1" pivotButton="0" quotePrefix="0" xfId="0">
      <alignment horizontal="center" vertical="center"/>
    </xf>
    <xf numFmtId="0" fontId="7" fillId="4" borderId="0" applyAlignment="1" pivotButton="0" quotePrefix="0" xfId="0">
      <alignment horizontal="center" vertical="center" wrapText="1"/>
    </xf>
    <xf numFmtId="165" fontId="3" fillId="0" borderId="0" pivotButton="0" quotePrefix="0" xfId="0"/>
    <xf numFmtId="0" fontId="7" fillId="5" borderId="14" applyAlignment="1" pivotButton="0" quotePrefix="0" xfId="0">
      <alignment horizontal="center" vertical="center" wrapText="1"/>
    </xf>
    <xf numFmtId="166" fontId="6" fillId="2" borderId="1" applyAlignment="1" pivotButton="0" quotePrefix="0" xfId="1">
      <alignment horizontal="center" vertical="center"/>
    </xf>
    <xf numFmtId="167" fontId="6" fillId="2" borderId="1" applyAlignment="1" pivotButton="0" quotePrefix="0" xfId="1">
      <alignment horizontal="center" vertical="center"/>
    </xf>
    <xf numFmtId="165" fontId="6" fillId="2" borderId="10" applyAlignment="1" pivotButton="0" quotePrefix="0" xfId="1">
      <alignment horizontal="center" vertical="center"/>
    </xf>
    <xf numFmtId="167" fontId="12" fillId="0" borderId="1" applyAlignment="1" pivotButton="0" quotePrefix="0" xfId="2">
      <alignment horizontal="center" vertical="center"/>
    </xf>
    <xf numFmtId="167" fontId="0" fillId="0" borderId="1" applyAlignment="1" pivotButton="0" quotePrefix="0" xfId="2">
      <alignment horizontal="center"/>
    </xf>
    <xf numFmtId="0" fontId="7" fillId="5" borderId="0" applyAlignment="1" pivotButton="0" quotePrefix="0" xfId="0">
      <alignment horizontal="center" vertical="center"/>
    </xf>
    <xf numFmtId="0" fontId="5" fillId="0" borderId="0" applyAlignment="1" pivotButton="0" quotePrefix="0" xfId="0">
      <alignment horizontal="center"/>
    </xf>
    <xf numFmtId="167" fontId="6" fillId="2" borderId="4" applyAlignment="1" pivotButton="0" quotePrefix="0" xfId="1">
      <alignment horizontal="center" vertical="center"/>
    </xf>
    <xf numFmtId="167" fontId="0" fillId="0" borderId="0" applyAlignment="1" pivotButton="0" quotePrefix="0" xfId="2">
      <alignment horizontal="center"/>
    </xf>
    <xf numFmtId="0" fontId="9" fillId="0" borderId="0" applyAlignment="1" pivotButton="0" quotePrefix="0" xfId="0">
      <alignment horizontal="center" vertical="center" wrapText="1"/>
    </xf>
    <xf numFmtId="167" fontId="13" fillId="0" borderId="0" applyAlignment="1" pivotButton="0" quotePrefix="0" xfId="0">
      <alignment horizontal="center"/>
    </xf>
    <xf numFmtId="0" fontId="5" fillId="0" borderId="6" applyAlignment="1" pivotButton="0" quotePrefix="0" xfId="0">
      <alignment horizontal="left"/>
    </xf>
    <xf numFmtId="0" fontId="5" fillId="0" borderId="4" applyAlignment="1" pivotButton="0" quotePrefix="0" xfId="0">
      <alignment horizontal="left"/>
    </xf>
    <xf numFmtId="0" fontId="5" fillId="0" borderId="8" applyAlignment="1" pivotButton="0" quotePrefix="0" xfId="0">
      <alignment horizontal="left" wrapText="1"/>
    </xf>
    <xf numFmtId="0" fontId="5" fillId="0" borderId="8" applyAlignment="1" pivotButton="0" quotePrefix="0" xfId="0">
      <alignment horizontal="left"/>
    </xf>
    <xf numFmtId="0" fontId="5" fillId="0" borderId="9"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6" applyAlignment="1" pivotButton="0" quotePrefix="0" xfId="0">
      <alignment horizontal="left" vertical="center" wrapText="1"/>
    </xf>
    <xf numFmtId="0" fontId="5" fillId="0" borderId="1" applyAlignment="1" pivotButton="0" quotePrefix="0" xfId="0">
      <alignment horizontal="left" wrapText="1"/>
    </xf>
    <xf numFmtId="0" fontId="5" fillId="0" borderId="1" applyAlignment="1" pivotButton="0" quotePrefix="0" xfId="0">
      <alignment horizontal="left"/>
    </xf>
    <xf numFmtId="0" fontId="5" fillId="6" borderId="0" applyAlignment="1" pivotButton="0" quotePrefix="0" xfId="0">
      <alignment horizontal="left" wrapText="1"/>
    </xf>
    <xf numFmtId="0" fontId="5" fillId="0" borderId="12" applyAlignment="1" pivotButton="0" quotePrefix="0" xfId="0">
      <alignment horizontal="left"/>
    </xf>
    <xf numFmtId="0" fontId="5" fillId="0" borderId="7" applyAlignment="1" pivotButton="0" quotePrefix="0" xfId="0">
      <alignment horizontal="left"/>
    </xf>
    <xf numFmtId="0" fontId="5" fillId="0" borderId="4" applyAlignment="1" pivotButton="0" quotePrefix="0" xfId="0">
      <alignment horizontal="left" vertical="center" wrapText="1"/>
    </xf>
    <xf numFmtId="0" fontId="4" fillId="0" borderId="0" applyAlignment="1" pivotButton="0" quotePrefix="0" xfId="0">
      <alignment horizont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0" borderId="6" applyAlignment="1" pivotButton="0" quotePrefix="0" xfId="0">
      <alignment horizontal="left" vertical="center"/>
    </xf>
    <xf numFmtId="0" fontId="5" fillId="0" borderId="4" applyAlignment="1" pivotButton="0" quotePrefix="0" xfId="0">
      <alignment horizontal="left" vertical="center"/>
    </xf>
    <xf numFmtId="0" fontId="5" fillId="0" borderId="12" applyAlignment="1" pivotButton="0" quotePrefix="0" xfId="0">
      <alignment horizontal="left" vertical="center"/>
    </xf>
    <xf numFmtId="0" fontId="5" fillId="0" borderId="7" applyAlignment="1" pivotButton="0" quotePrefix="0" xfId="0">
      <alignment horizontal="left" vertical="center"/>
    </xf>
    <xf numFmtId="0" fontId="15" fillId="0" borderId="0" pivotButton="0" quotePrefix="0" xfId="0"/>
    <xf numFmtId="0" fontId="16" fillId="0" borderId="0" pivotButton="0" quotePrefix="0" xfId="0"/>
    <xf numFmtId="0" fontId="17" fillId="7" borderId="20" applyAlignment="1" pivotButton="0" quotePrefix="0" xfId="0">
      <alignment horizontal="left" vertical="center"/>
    </xf>
    <xf numFmtId="0" fontId="18" fillId="0" borderId="20" pivotButton="0" quotePrefix="0" xfId="0"/>
    <xf numFmtId="0" fontId="18" fillId="8" borderId="20" pivotButton="0" quotePrefix="0" xfId="0"/>
    <xf numFmtId="0" fontId="16" fillId="0" borderId="0" applyAlignment="1" pivotButton="0" quotePrefix="0" xfId="0">
      <alignment vertical="top" wrapText="1"/>
    </xf>
    <xf numFmtId="0" fontId="0" fillId="0" borderId="10" pivotButton="0" quotePrefix="0" xfId="0"/>
    <xf numFmtId="0" fontId="0" fillId="0" borderId="6" pivotButton="0" quotePrefix="0" xfId="0"/>
    <xf numFmtId="0" fontId="5" fillId="0" borderId="15" applyAlignment="1" pivotButton="0" quotePrefix="0" xfId="0">
      <alignment horizontal="left" vertical="center" wrapText="1"/>
    </xf>
    <xf numFmtId="0" fontId="0" fillId="0" borderId="8" pivotButton="0" quotePrefix="0" xfId="0"/>
    <xf numFmtId="165" fontId="6" fillId="2" borderId="6" applyAlignment="1" pivotButton="0" quotePrefix="0" xfId="1">
      <alignment horizontal="center" vertical="center"/>
    </xf>
    <xf numFmtId="165" fontId="6" fillId="2" borderId="10" applyAlignment="1" pivotButton="0" quotePrefix="0" xfId="1">
      <alignment horizontal="center" vertical="center"/>
    </xf>
    <xf numFmtId="165" fontId="3" fillId="0" borderId="0" pivotButton="0" quotePrefix="0" xfId="0"/>
    <xf numFmtId="0" fontId="0" fillId="0" borderId="12" pivotButton="0" quotePrefix="0" xfId="0"/>
    <xf numFmtId="0" fontId="0" fillId="0" borderId="18" pivotButton="0" quotePrefix="0" xfId="0"/>
    <xf numFmtId="0" fontId="0" fillId="0" borderId="19" pivotButton="0" quotePrefix="0" xfId="0"/>
    <xf numFmtId="165" fontId="0" fillId="0" borderId="0" pivotButton="0" quotePrefix="0" xfId="0"/>
    <xf numFmtId="164" fontId="0" fillId="0" borderId="0" pivotButton="0" quotePrefix="0" xfId="0"/>
    <xf numFmtId="164" fontId="2" fillId="3" borderId="2" applyAlignment="1" pivotButton="0" quotePrefix="0" xfId="0">
      <alignment horizontal="center" vertical="center"/>
    </xf>
    <xf numFmtId="164" fontId="2" fillId="3" borderId="0" applyAlignment="1" pivotButton="0" quotePrefix="0" xfId="0">
      <alignment horizontal="center" vertical="center"/>
    </xf>
    <xf numFmtId="164" fontId="2" fillId="3" borderId="3" applyAlignment="1" pivotButton="0" quotePrefix="0" xfId="0">
      <alignment horizontal="center" vertical="center"/>
    </xf>
    <xf numFmtId="0" fontId="18" fillId="8" borderId="20" applyAlignment="1" pivotButton="0" quotePrefix="0" xfId="0">
      <alignment vertical="top" wrapText="1"/>
    </xf>
    <xf numFmtId="0" fontId="18" fillId="0" borderId="20" applyAlignment="1" pivotButton="0" quotePrefix="0" xfId="0">
      <alignment vertical="top" wrapText="1"/>
    </xf>
    <xf numFmtId="0" fontId="18" fillId="9" borderId="20" applyAlignment="1" pivotButton="0" quotePrefix="0" xfId="0">
      <alignment vertical="top" wrapText="1"/>
    </xf>
    <xf numFmtId="0" fontId="19" fillId="0" borderId="0" pivotButton="0" quotePrefix="0" xfId="0"/>
  </cellXfs>
  <cellStyles count="3">
    <cellStyle name="Normal" xfId="0" builtinId="0"/>
    <cellStyle name="Moneda" xfId="1" builtinId="4"/>
    <cellStyle name="Porcentaje" xfId="2" builtinId="5"/>
  </cellStyles>
  <dxfs count="7">
    <dxf>
      <font>
        <name val="Noto Sans"/>
        <strike val="0"/>
        <outline val="0"/>
        <shadow val="0"/>
        <sz val="10"/>
        <vertAlign val="baseline"/>
      </font>
      <fill>
        <patternFill>
          <fgColor indexed="64"/>
          <bgColor auto="1"/>
        </patternFill>
      </fill>
      <alignment/>
    </dxf>
    <dxf>
      <font>
        <name val="Noto Sans"/>
        <strike val="0"/>
        <outline val="0"/>
        <shadow val="0"/>
        <condense val="0"/>
        <color rgb="FF2E3438"/>
        <extend val="0"/>
        <sz val="10"/>
        <vertAlign val="baseline"/>
      </font>
      <fill>
        <patternFill>
          <fgColor indexed="64"/>
          <bgColor indexed="65"/>
        </patternFill>
      </fill>
      <alignment horizontal="center" vertical="center"/>
    </dxf>
    <dxf>
      <font>
        <name val="Noto Sans"/>
        <strike val="0"/>
        <outline val="0"/>
        <shadow val="0"/>
        <condense val="0"/>
        <color rgb="FF2E3438"/>
        <extend val="0"/>
        <sz val="10"/>
        <vertAlign val="baseline"/>
      </font>
      <fill>
        <patternFill>
          <fgColor indexed="64"/>
          <bgColor indexed="65"/>
        </patternFill>
      </fill>
      <alignment horizontal="center" vertical="center"/>
    </dxf>
    <dxf>
      <font>
        <name val="Noto Sans"/>
        <strike val="0"/>
        <outline val="0"/>
        <shadow val="0"/>
        <sz val="10"/>
        <vertAlign val="baseline"/>
      </font>
      <fill>
        <patternFill>
          <fgColor indexed="64"/>
          <bgColor auto="1"/>
        </patternFill>
      </fill>
      <alignment/>
    </dxf>
    <dxf>
      <font>
        <name val="Noto Sans"/>
        <b val="1"/>
        <strike val="0"/>
        <outline val="0"/>
        <shadow val="0"/>
        <condense val="0"/>
        <color theme="0"/>
        <extend val="0"/>
        <sz val="10"/>
        <vertAlign val="baseline"/>
      </font>
      <numFmt numFmtId="22" formatCode="mmm\-yy"/>
      <fill>
        <patternFill patternType="solid">
          <fgColor indexed="64"/>
          <bgColor rgb="FF1E5B4F"/>
        </patternFill>
      </fill>
      <alignment horizontal="center" vertical="center"/>
    </dxf>
    <dxf>
      <font>
        <name val="Noto Sans"/>
        <strike val="0"/>
        <outline val="0"/>
        <shadow val="0"/>
        <sz val="10"/>
        <vertAlign val="baseline"/>
      </font>
      <fill>
        <patternFill>
          <fgColor indexed="64"/>
          <bgColor auto="1"/>
        </patternFill>
      </fill>
      <alignment/>
    </dxf>
    <dxf>
      <font>
        <name val="Noto Sans"/>
        <strike val="0"/>
        <outline val="0"/>
        <shadow val="0"/>
        <sz val="10"/>
        <vertAlign val="baseline"/>
      </font>
      <alignme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800" b="1" i="0" strike="noStrike" kern="1200" spc="0" normalizeH="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800" b="1">
                <a:latin typeface="Noto Sans" panose="020B0502040504020204" pitchFamily="34" charset="0"/>
                <a:ea typeface="Noto Sans" panose="020B0502040504020204" pitchFamily="34" charset="0"/>
                <a:cs typeface="Noto Sans" panose="020B0502040504020204" pitchFamily="34" charset="0"/>
              </a:rPr>
              <a:t>Producto Interno Bruto,</a:t>
            </a:r>
            <a:r>
              <a:rPr lang="es-MX" sz="1800" b="1" baseline="0">
                <a:latin typeface="Noto Sans" panose="020B0502040504020204" pitchFamily="34" charset="0"/>
                <a:ea typeface="Noto Sans" panose="020B0502040504020204" pitchFamily="34" charset="0"/>
                <a:cs typeface="Noto Sans" panose="020B0502040504020204" pitchFamily="34" charset="0"/>
              </a:rPr>
              <a:t xml:space="preserve"> series originales (mdp a precios de 2018) </a:t>
            </a:r>
            <a:r>
              <a:rPr lang="es-MX" sz="1800" b="1">
                <a:latin typeface="Noto Sans" panose="020B0502040504020204" pitchFamily="34" charset="0"/>
                <a:ea typeface="Noto Sans" panose="020B0502040504020204" pitchFamily="34" charset="0"/>
                <a:cs typeface="Noto Sans" panose="020B0502040504020204" pitchFamily="34" charset="0"/>
              </a:rPr>
              <a:t>  </a:t>
            </a:r>
          </a:p>
        </rich>
      </tx>
      <overlay val="0"/>
      <spPr>
        <a:noFill/>
        <a:ln>
          <a:noFill/>
          <a:prstDash val="solid"/>
        </a:ln>
      </spPr>
      <txPr>
        <a:bodyPr rot="0" spcFirstLastPara="1" vertOverflow="ellipsis" vert="horz" wrap="square" anchor="ctr" anchorCtr="1"/>
        <a:lstStyle/>
        <a:p>
          <a:pPr>
            <a:defRPr sz="1800" b="1" i="0" strike="noStrike" kern="1200" spc="0" normalizeH="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barChart>
        <barDir val="col"/>
        <grouping val="clustered"/>
        <varyColors val="0"/>
        <ser>
          <idx val="0"/>
          <order val="0"/>
          <tx>
            <strRef>
              <f>PIB!$C$9</f>
              <strCache>
                <ptCount val="1"/>
                <pt idx="0">
                  <v>PIB</v>
                </pt>
              </strCache>
            </strRef>
          </tx>
          <spPr>
            <a:solidFill>
              <a:srgbClr val="1E5B4F"/>
            </a:solidFill>
            <a:ln>
              <a:noFill/>
              <a:prstDash val="solid"/>
            </a:ln>
          </spPr>
          <invertIfNegative val="0"/>
          <dLbls>
            <dLbl>
              <idx val="6"/>
            </dLbl>
            <dLbl>
              <idx val="9"/>
            </dLbl>
            <dLbl>
              <idx val="10"/>
            </dLbl>
            <dLbl>
              <idx val="14"/>
            </dLbl>
            <dLbl>
              <idx val="18"/>
            </dLbl>
            <spPr>
              <a:noFill/>
              <a:ln>
                <a:noFill/>
                <a:prstDash val="solid"/>
              </a:ln>
            </spPr>
            <txPr>
              <a:bodyPr rot="0" spcFirstLastPara="1" vertOverflow="ellipsis" vert="horz" wrap="square" lIns="38100" tIns="19050" rIns="38100" bIns="19050" anchor="ctr" anchorCtr="1">
                <a:spAutoFit/>
              </a:bodyPr>
              <a:lstStyle/>
              <a:p>
                <a:pPr>
                  <a:defRPr sz="800" b="1" i="0" strike="noStrike" kern="1200" baseline="0">
                    <a:solidFill>
                      <a:schemeClr val="tx1">
                        <a:lumMod val="75000"/>
                        <a:lumOff val="25000"/>
                      </a:schemeClr>
                    </a:solidFill>
                    <a:latin typeface="+mn-lt"/>
                    <a:ea typeface="+mn-ea"/>
                    <a:cs typeface="+mn-cs"/>
                  </a:defRPr>
                </a:pPr>
                <a:r>
                  <a:t/>
                </a:r>
                <a:endParaRPr lang="es-MX"/>
              </a:p>
            </txPr>
            <showLegendKey val="0"/>
            <showVal val="1"/>
            <showCatName val="0"/>
            <showSerName val="0"/>
            <showPercent val="0"/>
            <showBubbleSize val="0"/>
            <showLeaderLines val="0"/>
          </dLbls>
          <trendline>
            <spPr>
              <a:ln w="19050" cap="rnd">
                <a:solidFill>
                  <a:schemeClr val="accent1"/>
                </a:solidFill>
                <a:prstDash val="sysDot"/>
                <a:round/>
              </a:ln>
            </spPr>
            <trendlineType val="linear"/>
            <dispRSqr val="0"/>
            <dispEq val="0"/>
          </trendline>
          <cat>
            <strRef>
              <f>PIB!$B$10:$B$30</f>
              <strCache>
                <ptCount val="21"/>
                <pt idx="0">
                  <v>1T-21</v>
                </pt>
                <pt idx="1">
                  <v>2T-21</v>
                </pt>
                <pt idx="2">
                  <v>3T-21</v>
                </pt>
                <pt idx="3">
                  <v>4T-21</v>
                </pt>
                <pt idx="4">
                  <v>1T-22</v>
                </pt>
                <pt idx="5">
                  <v>2T-22</v>
                </pt>
                <pt idx="6">
                  <v>3T-22</v>
                </pt>
                <pt idx="7">
                  <v>4T-22</v>
                </pt>
                <pt idx="8">
                  <v>1T-23 R</v>
                </pt>
                <pt idx="9">
                  <v>2T-23 R</v>
                </pt>
                <pt idx="10">
                  <v>3T-23 R</v>
                </pt>
                <pt idx="11">
                  <v>4T-23 R</v>
                </pt>
                <pt idx="12">
                  <v>1T-24 R</v>
                </pt>
                <pt idx="13">
                  <v>2T-24 R</v>
                </pt>
                <pt idx="14">
                  <v>3T-24 R</v>
                </pt>
                <pt idx="15">
                  <v>4T-24 R</v>
                </pt>
                <pt idx="16">
                  <v>1T-25 R</v>
                </pt>
                <pt idx="17">
                  <v>2T-25 R</v>
                </pt>
                <pt idx="18">
                  <v>3T-25 R</v>
                </pt>
                <pt idx="19">
                  <v>4T-25 R</v>
                </pt>
                <pt idx="20">
                  <v>1T-26 P</v>
                </pt>
              </strCache>
            </strRef>
          </cat>
          <val>
            <numRef>
              <f>PIB!$C$10:$C$30</f>
              <numCache>
                <formatCode>_-"$"* #,##0_-;\-"$"* #,##0_-;_-"$"* "-"??_-;_-@_-</formatCode>
                <ptCount val="21"/>
                <pt idx="0">
                  <v>22841359.7</v>
                </pt>
                <pt idx="1">
                  <v>23623455.1</v>
                </pt>
                <pt idx="2">
                  <v>23204796.8</v>
                </pt>
                <pt idx="3">
                  <v>23949712.9</v>
                </pt>
                <pt idx="4">
                  <v>23440574.5</v>
                </pt>
                <pt idx="5">
                  <v>24310024.3</v>
                </pt>
                <pt idx="6">
                  <v>24289379.5</v>
                </pt>
                <pt idx="7">
                  <v>25052395.8</v>
                </pt>
                <pt idx="8">
                  <v>24330982.5</v>
                </pt>
                <pt idx="9">
                  <v>25108268.2</v>
                </pt>
                <pt idx="10">
                  <v>25094793.1</v>
                </pt>
                <pt idx="11">
                  <v>25590082.6</v>
                </pt>
                <pt idx="12">
                  <v>24761655.5</v>
                </pt>
                <pt idx="13">
                  <v>25655479</v>
                </pt>
                <pt idx="14">
                  <v>25475446.4</v>
                </pt>
                <pt idx="15">
                  <v>25693293</v>
                </pt>
                <pt idx="16">
                  <v>24913610.3</v>
                </pt>
                <pt idx="17">
                  <v>25618678.8</v>
                </pt>
                <pt idx="18">
                  <v>25422850.2</v>
                </pt>
                <pt idx="19">
                  <v>26135644.7</v>
                </pt>
                <pt idx="20">
                  <v>24973976.1</v>
                </pt>
              </numCache>
            </numRef>
          </val>
        </ser>
        <dLbls>
          <showLegendKey val="0"/>
          <showVal val="0"/>
          <showCatName val="0"/>
          <showSerName val="0"/>
          <showPercent val="0"/>
          <showBubbleSize val="0"/>
        </dLbls>
        <gapWidth val="100"/>
        <overlap val="-27"/>
        <axId val="1391731744"/>
        <axId val="1391729664"/>
      </barChart>
      <lineChart>
        <grouping val="standard"/>
        <varyColors val="0"/>
        <ser>
          <idx val="1"/>
          <order val="1"/>
          <tx>
            <strRef>
              <f>PIB!$D$9</f>
              <strCache>
                <ptCount val="1"/>
                <pt idx="0">
                  <v>Var. Anual (%)</v>
                </pt>
              </strCache>
            </strRef>
          </tx>
          <spPr>
            <a:ln w="38100" cap="rnd">
              <a:solidFill>
                <a:srgbClr val="A6802D"/>
              </a:solidFill>
              <a:prstDash val="solid"/>
              <a:round/>
            </a:ln>
          </spPr>
          <marker>
            <symbol val="none"/>
            <spPr>
              <a:ln>
                <a:prstDash val="solid"/>
              </a:ln>
            </spPr>
          </marker>
          <dLbls>
            <dLbl>
              <idx val="4"/>
              <dLblPos val="l"/>
              <showLegendKey val="0"/>
              <showVal val="1"/>
              <showCatName val="0"/>
              <showSerName val="0"/>
              <showPercent val="0"/>
              <showBubbleSize val="0"/>
            </dLbl>
            <dLbl>
              <idx val="17"/>
              <dLblPos val="l"/>
              <showLegendKey val="0"/>
              <showVal val="1"/>
              <showCatName val="0"/>
              <showSerName val="0"/>
              <showPercent val="0"/>
              <showBubbleSize val="0"/>
            </dLbl>
            <dLbl>
              <idx val="18"/>
              <dLblPos val="b"/>
              <showLegendKey val="0"/>
              <showVal val="1"/>
              <showCatName val="0"/>
              <showSerName val="0"/>
              <showPercent val="0"/>
              <showBubbleSize val="0"/>
            </dLbl>
            <spPr>
              <a:solidFill>
                <a:sysClr val="windowText" lastClr="000000">
                  <a:lumOff val="85000"/>
                  <a:lumMod val="15000"/>
                </a:sysClr>
              </a:solidFill>
              <a:ln>
                <a:noFill/>
                <a:prstDash val="solid"/>
              </a:ln>
            </spPr>
            <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75000"/>
                        <a:lumOff val="25000"/>
                      </a:schemeClr>
                    </a:solidFill>
                    <a:latin typeface="+mn-lt"/>
                    <a:ea typeface="+mn-ea"/>
                    <a:cs typeface="+mn-cs"/>
                  </a:defRPr>
                </a:pPr>
                <a:r>
                  <a:t/>
                </a:r>
                <a:endParaRPr lang="es-MX"/>
              </a:p>
            </txPr>
            <showLegendKey val="0"/>
            <showVal val="1"/>
            <showCatName val="0"/>
            <showSerName val="0"/>
            <showPercent val="0"/>
            <showBubbleSize val="0"/>
            <showLeaderLines val="0"/>
          </dLbls>
          <cat>
            <strRef>
              <f>PIB!$B$10:$B$30</f>
              <strCache>
                <ptCount val="21"/>
                <pt idx="0">
                  <v>1T-21</v>
                </pt>
                <pt idx="1">
                  <v>2T-21</v>
                </pt>
                <pt idx="2">
                  <v>3T-21</v>
                </pt>
                <pt idx="3">
                  <v>4T-21</v>
                </pt>
                <pt idx="4">
                  <v>1T-22</v>
                </pt>
                <pt idx="5">
                  <v>2T-22</v>
                </pt>
                <pt idx="6">
                  <v>3T-22</v>
                </pt>
                <pt idx="7">
                  <v>4T-22</v>
                </pt>
                <pt idx="8">
                  <v>1T-23 R</v>
                </pt>
                <pt idx="9">
                  <v>2T-23 R</v>
                </pt>
                <pt idx="10">
                  <v>3T-23 R</v>
                </pt>
                <pt idx="11">
                  <v>4T-23 R</v>
                </pt>
                <pt idx="12">
                  <v>1T-24 R</v>
                </pt>
                <pt idx="13">
                  <v>2T-24 R</v>
                </pt>
                <pt idx="14">
                  <v>3T-24 R</v>
                </pt>
                <pt idx="15">
                  <v>4T-24 R</v>
                </pt>
                <pt idx="16">
                  <v>1T-25 R</v>
                </pt>
                <pt idx="17">
                  <v>2T-25 R</v>
                </pt>
                <pt idx="18">
                  <v>3T-25 R</v>
                </pt>
                <pt idx="19">
                  <v>4T-25 R</v>
                </pt>
                <pt idx="20">
                  <v>1T-26 P</v>
                </pt>
              </strCache>
            </strRef>
          </cat>
          <val>
            <numRef>
              <f>PIB!$D$10:$D$30</f>
              <numCache>
                <formatCode>0.0%</formatCode>
                <ptCount val="21"/>
                <pt idx="0">
                  <v>0.019</v>
                </pt>
                <pt idx="1">
                  <v>0.051</v>
                </pt>
                <pt idx="2">
                  <v>0.227</v>
                </pt>
                <pt idx="3">
                  <v>-0.026</v>
                </pt>
                <pt idx="4">
                  <v>0.02623376225715668</v>
                </pt>
                <pt idx="5">
                  <v>0.02906303066565386</v>
                </pt>
                <pt idx="6">
                  <v>0.04673959049708198</v>
                </pt>
                <pt idx="7">
                  <v>0.04604159158834853</v>
                </pt>
                <pt idx="8">
                  <v>0.03798575841219254</v>
                </pt>
                <pt idx="9">
                  <v>0.03283599761765754</v>
                </pt>
                <pt idx="10">
                  <v>0.03315908502314779</v>
                </pt>
                <pt idx="11">
                  <v>0.02146249022618441</v>
                </pt>
                <pt idx="12">
                  <v>0.01770060045869504</v>
                </pt>
                <pt idx="13">
                  <v>0.02179404790649797</v>
                </pt>
                <pt idx="14">
                  <v>0.01516861679166404</v>
                </pt>
                <pt idx="15">
                  <v>0.004033218712627296</v>
                </pt>
                <pt idx="16">
                  <v>0.006136697927971779</v>
                </pt>
                <pt idx="17">
                  <v>-0.001434399256392771</v>
                </pt>
                <pt idx="18">
                  <v>-0.002064584038064199</v>
                </pt>
                <pt idx="19">
                  <v>0.01721662147393865</v>
                </pt>
                <pt idx="20">
                  <v>0.002423004906679571</v>
                </pt>
              </numCache>
            </numRef>
          </val>
          <smooth val="0"/>
        </ser>
        <dLbls>
          <showLegendKey val="0"/>
          <showVal val="0"/>
          <showCatName val="0"/>
          <showSerName val="0"/>
          <showPercent val="0"/>
          <showBubbleSize val="0"/>
        </dLbls>
        <marker val="1"/>
        <smooth val="0"/>
        <axId val="1391730080"/>
        <axId val="1391721760"/>
      </lineChart>
      <catAx>
        <axId val="1391731744"/>
        <scaling>
          <orientation val="minMax"/>
        </scaling>
        <delete val="0"/>
        <axPos val="b"/>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spc="0" normalizeH="0" baseline="0">
                <a:solidFill>
                  <a:schemeClr val="tx1">
                    <a:lumMod val="65000"/>
                    <a:lumOff val="35000"/>
                  </a:schemeClr>
                </a:solidFill>
                <a:latin typeface="+mn-lt"/>
                <a:ea typeface="+mn-ea"/>
                <a:cs typeface="+mn-cs"/>
              </a:defRPr>
            </a:pPr>
            <a:r>
              <a:t/>
            </a:r>
            <a:endParaRPr lang="es-MX"/>
          </a:p>
        </txPr>
        <crossAx val="1391729664"/>
        <crosses val="autoZero"/>
        <auto val="1"/>
        <lblAlgn val="ctr"/>
        <lblOffset val="100"/>
        <noMultiLvlLbl val="0"/>
      </catAx>
      <valAx>
        <axId val="1391729664"/>
        <scaling>
          <orientation val="minMax"/>
        </scaling>
        <delete val="0"/>
        <axPos val="l"/>
        <majorGridlines>
          <spPr>
            <a:ln w="9525" cap="flat" cmpd="sng" algn="ctr">
              <a:solidFill>
                <a:schemeClr val="tx1">
                  <a:lumMod val="15000"/>
                  <a:lumOff val="85000"/>
                </a:schemeClr>
              </a:solidFill>
              <a:prstDash val="solid"/>
              <a:round/>
            </a:ln>
          </spPr>
        </majorGridlines>
        <minorGridlines>
          <spPr>
            <a:ln w="9525" cap="flat" cmpd="sng" algn="ctr">
              <a:solidFill>
                <a:schemeClr val="tx1">
                  <a:lumMod val="5000"/>
                  <a:lumOff val="95000"/>
                </a:schemeClr>
              </a:solidFill>
              <a:prstDash val="solid"/>
              <a:round/>
            </a:ln>
          </spPr>
        </minorGridlines>
        <title>
          <tx>
            <rich>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rPr lang="es-MX"/>
                  <a:t>millones de pesos a precios de 2018</a:t>
                </a:r>
              </a:p>
            </rich>
          </tx>
          <overlay val="0"/>
          <spPr>
            <a:noFill/>
            <a:ln>
              <a:noFill/>
              <a:prstDash val="solid"/>
            </a:ln>
          </spPr>
          <txPr>
            <a:bodyPr rot="-5400000" spcFirstLastPara="1" vertOverflow="ellipsis" vert="horz" wrap="square" anchor="ctr" anchorCtr="1"/>
            <a:lstStyle/>
            <a:p>
              <a:pPr>
                <a:defRPr sz="900" b="0" i="0" strike="noStrike" kern="1200" cap="all" baseline="0">
                  <a:solidFill>
                    <a:schemeClr val="tx1">
                      <a:lumMod val="65000"/>
                      <a:lumOff val="35000"/>
                    </a:schemeClr>
                  </a:solidFill>
                  <a:latin typeface="+mn-lt"/>
                  <a:ea typeface="+mn-ea"/>
                  <a:cs typeface="+mn-cs"/>
                </a:defRPr>
              </a:pPr>
              <a:r>
                <a:t/>
              </a:r>
              <a:endParaRPr lang="es-MX"/>
            </a:p>
          </txPr>
        </title>
        <numFmt formatCode="_-&quot;$&quot;* #,##0_-;\-&quot;$&quot;* #,##0_-;_-&quot;$&quot;* &quot;-&quot;??_-;_-@_-" sourceLinked="1"/>
        <majorTickMark val="none"/>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crossAx val="1391731744"/>
        <crosses val="autoZero"/>
        <crossBetween val="between"/>
      </valAx>
      <catAx>
        <axId val="1391730080"/>
        <scaling>
          <orientation val="minMax"/>
        </scaling>
        <delete val="1"/>
        <axPos val="b"/>
        <numFmt formatCode="General" sourceLinked="1"/>
        <majorTickMark val="out"/>
        <minorTickMark val="none"/>
        <tickLblPos val="nextTo"/>
        <crossAx val="1391721760"/>
        <crosses val="autoZero"/>
        <auto val="1"/>
        <lblAlgn val="ctr"/>
        <lblOffset val="100"/>
        <noMultiLvlLbl val="0"/>
      </catAx>
      <valAx>
        <axId val="1391721760"/>
        <scaling>
          <orientation val="minMax"/>
        </scaling>
        <delete val="0"/>
        <axPos val="r"/>
        <numFmt formatCode="0.0%" sourceLinked="1"/>
        <majorTickMark val="none"/>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crossAx val="1391730080"/>
        <crosses val="max"/>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b="1"/>
              <a:t>PIB</a:t>
            </a:r>
            <a:r>
              <a:rPr lang="es-MX" b="1" baseline="0"/>
              <a:t xml:space="preserve"> por actividad económica, cifras desestacionalizadas</a:t>
            </a:r>
            <a:endParaRPr lang="es-MX" b="1"/>
          </a:p>
        </rich>
      </tx>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barChart>
        <barDir val="col"/>
        <grouping val="clustered"/>
        <varyColors val="0"/>
        <ser>
          <idx val="0"/>
          <order val="0"/>
          <tx>
            <strRef>
              <f>'PIB Sectorial'!$C$9</f>
              <strCache>
                <ptCount val="1"/>
                <pt idx="0">
                  <v>Primarias</v>
                </pt>
              </strCache>
            </strRef>
          </tx>
          <spPr>
            <a:solidFill>
              <a:srgbClr val="002F2A"/>
            </a:solidFill>
            <a:ln>
              <a:noFill/>
              <a:prstDash val="solid"/>
            </a:ln>
          </spPr>
          <invertIfNegative val="0"/>
          <cat>
            <strRef>
              <f>'PIB Sectorial'!$B$10:$B$22</f>
              <strCache>
                <ptCount val="13"/>
                <pt idx="0">
                  <v>1T-25 P</v>
                </pt>
                <pt idx="1">
                  <v>2T-25 P</v>
                </pt>
                <pt idx="2">
                  <v>3T-25 P</v>
                </pt>
                <pt idx="3">
                  <v>4T-25 P</v>
                </pt>
                <pt idx="4">
                  <v>1T-25 P</v>
                </pt>
                <pt idx="5">
                  <v>2T-25 P</v>
                </pt>
                <pt idx="6">
                  <v>3T-25 P</v>
                </pt>
                <pt idx="7">
                  <v>4T-25 P</v>
                </pt>
                <pt idx="8">
                  <v>1T-25 P</v>
                </pt>
                <pt idx="9">
                  <v>2T-25 P</v>
                </pt>
                <pt idx="10">
                  <v>3T-25 P</v>
                </pt>
                <pt idx="11">
                  <v>4T-25 P</v>
                </pt>
                <pt idx="12">
                  <v>1T-26 P</v>
                </pt>
              </strCache>
            </strRef>
          </cat>
          <val>
            <numRef>
              <f>'PIB Sectorial'!$C$10:$C$22</f>
              <numCache>
                <formatCode>_-"$"* #,##0_-;\-"$"* #,##0_-;_-"$"* "-"??_-;_-@_-</formatCode>
                <ptCount val="13"/>
                <pt idx="0">
                  <v>835925.6</v>
                </pt>
                <pt idx="1">
                  <v>836799.6</v>
                </pt>
                <pt idx="2">
                  <v>819095.7</v>
                </pt>
                <pt idx="3">
                  <v>831686.6</v>
                </pt>
                <pt idx="4">
                  <v>827043</v>
                </pt>
                <pt idx="5">
                  <v>842252.6</v>
                </pt>
                <pt idx="6">
                  <v>871472.5</v>
                </pt>
                <pt idx="7">
                  <v>813692.8</v>
                </pt>
                <pt idx="8">
                  <v>854504.32127079</v>
                </pt>
                <pt idx="9">
                  <v>836772.665548799</v>
                </pt>
                <pt idx="10">
                  <v>859287.643962977</v>
                </pt>
                <pt idx="11">
                  <v>871755.018658648</v>
                </pt>
                <pt idx="12">
                  <v>856921.087012258</v>
                </pt>
              </numCache>
            </numRef>
          </val>
        </ser>
        <ser>
          <idx val="1"/>
          <order val="1"/>
          <tx>
            <strRef>
              <f>'PIB Sectorial'!$D$9</f>
              <strCache>
                <ptCount val="1"/>
                <pt idx="0">
                  <v>Secundarias</v>
                </pt>
              </strCache>
            </strRef>
          </tx>
          <spPr>
            <a:solidFill>
              <a:srgbClr val="1E5B4F"/>
            </a:solidFill>
            <a:ln>
              <a:noFill/>
              <a:prstDash val="solid"/>
            </a:ln>
          </spPr>
          <invertIfNegative val="0"/>
          <cat>
            <strRef>
              <f>'PIB Sectorial'!$B$10:$B$22</f>
              <strCache>
                <ptCount val="13"/>
                <pt idx="0">
                  <v>1T-25 P</v>
                </pt>
                <pt idx="1">
                  <v>2T-25 P</v>
                </pt>
                <pt idx="2">
                  <v>3T-25 P</v>
                </pt>
                <pt idx="3">
                  <v>4T-25 P</v>
                </pt>
                <pt idx="4">
                  <v>1T-25 P</v>
                </pt>
                <pt idx="5">
                  <v>2T-25 P</v>
                </pt>
                <pt idx="6">
                  <v>3T-25 P</v>
                </pt>
                <pt idx="7">
                  <v>4T-25 P</v>
                </pt>
                <pt idx="8">
                  <v>1T-25 P</v>
                </pt>
                <pt idx="9">
                  <v>2T-25 P</v>
                </pt>
                <pt idx="10">
                  <v>3T-25 P</v>
                </pt>
                <pt idx="11">
                  <v>4T-25 P</v>
                </pt>
                <pt idx="12">
                  <v>1T-26 P</v>
                </pt>
              </strCache>
            </strRef>
          </cat>
          <val>
            <numRef>
              <f>'PIB Sectorial'!$D$10:$D$22</f>
              <numCache>
                <formatCode>_-"$"* #,##0_-;\-"$"* #,##0_-;_-"$"* "-"??_-;_-@_-</formatCode>
                <ptCount val="13"/>
                <pt idx="0">
                  <v>7884149.8</v>
                </pt>
                <pt idx="1">
                  <v>7943263.3</v>
                </pt>
                <pt idx="2">
                  <v>8016288.3</v>
                </pt>
                <pt idx="3">
                  <v>8010952.1</v>
                </pt>
                <pt idx="4">
                  <v>7940140.6</v>
                </pt>
                <pt idx="5">
                  <v>7876382</v>
                </pt>
                <pt idx="6">
                  <v>7979123.7</v>
                </pt>
                <pt idx="7">
                  <v>7807342.1</v>
                </pt>
                <pt idx="8">
                  <v>7833621.03455699</v>
                </pt>
                <pt idx="9">
                  <v>7849205.98397336</v>
                </pt>
                <pt idx="10">
                  <v>7780913.07920474</v>
                </pt>
                <pt idx="11">
                  <v>7829888.17418644</v>
                </pt>
                <pt idx="12">
                  <v>7750175.3189237</v>
                </pt>
              </numCache>
            </numRef>
          </val>
        </ser>
        <ser>
          <idx val="2"/>
          <order val="2"/>
          <tx>
            <strRef>
              <f>'PIB Sectorial'!$E$9</f>
              <strCache>
                <ptCount val="1"/>
                <pt idx="0">
                  <v>Terciarias</v>
                </pt>
              </strCache>
            </strRef>
          </tx>
          <spPr>
            <a:solidFill>
              <a:srgbClr val="9C2348"/>
            </a:solidFill>
            <a:ln>
              <a:noFill/>
              <a:prstDash val="solid"/>
            </a:ln>
          </spPr>
          <invertIfNegative val="0"/>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showLegendKey val="0"/>
            <showVal val="1"/>
            <showCatName val="0"/>
            <showSerName val="0"/>
            <showPercent val="0"/>
            <showBubbleSize val="0"/>
            <showLeaderLines val="0"/>
          </dLbls>
          <cat>
            <strRef>
              <f>'PIB Sectorial'!$B$10:$B$22</f>
              <strCache>
                <ptCount val="13"/>
                <pt idx="0">
                  <v>1T-25 P</v>
                </pt>
                <pt idx="1">
                  <v>2T-25 P</v>
                </pt>
                <pt idx="2">
                  <v>3T-25 P</v>
                </pt>
                <pt idx="3">
                  <v>4T-25 P</v>
                </pt>
                <pt idx="4">
                  <v>1T-25 P</v>
                </pt>
                <pt idx="5">
                  <v>2T-25 P</v>
                </pt>
                <pt idx="6">
                  <v>3T-25 P</v>
                </pt>
                <pt idx="7">
                  <v>4T-25 P</v>
                </pt>
                <pt idx="8">
                  <v>1T-25 P</v>
                </pt>
                <pt idx="9">
                  <v>2T-25 P</v>
                </pt>
                <pt idx="10">
                  <v>3T-25 P</v>
                </pt>
                <pt idx="11">
                  <v>4T-25 P</v>
                </pt>
                <pt idx="12">
                  <v>1T-26 P</v>
                </pt>
              </strCache>
            </strRef>
          </cat>
          <val>
            <numRef>
              <f>'PIB Sectorial'!$E$10:$E$22</f>
              <numCache>
                <formatCode>_-"$"* #,##0_-;\-"$"* #,##0_-;_-"$"* "-"??_-;_-@_-</formatCode>
                <ptCount val="13"/>
                <pt idx="0">
                  <v>14688940.9</v>
                </pt>
                <pt idx="1">
                  <v>14820043.5</v>
                </pt>
                <pt idx="2">
                  <v>14946803</v>
                </pt>
                <pt idx="3">
                  <v>14960367.9</v>
                </pt>
                <pt idx="4">
                  <v>15131051.2</v>
                </pt>
                <pt idx="5">
                  <v>15155060</v>
                </pt>
                <pt idx="6">
                  <v>15281727.3</v>
                </pt>
                <pt idx="7">
                  <v>15253152.9</v>
                </pt>
                <pt idx="8">
                  <v>15316101.403228</v>
                </pt>
                <pt idx="9">
                  <v>15394411.489658</v>
                </pt>
                <pt idx="10">
                  <v>15435842.6920738</v>
                </pt>
                <pt idx="11">
                  <v>15548365.8219927</v>
                </pt>
                <pt idx="12">
                  <v>15490105.2001774</v>
                </pt>
              </numCache>
            </numRef>
          </val>
        </ser>
        <dLbls>
          <showLegendKey val="0"/>
          <showVal val="0"/>
          <showCatName val="0"/>
          <showSerName val="0"/>
          <showPercent val="0"/>
          <showBubbleSize val="0"/>
        </dLbls>
        <gapWidth val="100"/>
        <axId val="399461983"/>
        <axId val="399450751"/>
      </barChart>
      <lineChart>
        <grouping val="standard"/>
        <varyColors val="0"/>
        <ser>
          <idx val="3"/>
          <order val="3"/>
          <tx>
            <strRef>
              <f>'PIB Sectorial'!$F$9</f>
              <strCache>
                <ptCount val="1"/>
                <pt idx="0">
                  <v>Var. Trim. Terc.</v>
                </pt>
              </strCache>
            </strRef>
          </tx>
          <spPr>
            <a:ln w="28575" cap="rnd">
              <a:solidFill>
                <a:srgbClr val="A6802D"/>
              </a:solidFill>
              <a:prstDash val="solid"/>
              <a:round/>
            </a:ln>
          </spPr>
          <marker>
            <symbol val="circle"/>
            <size val="5"/>
            <spPr>
              <a:solidFill>
                <a:srgbClr val="A6802D"/>
              </a:solidFill>
              <a:ln w="9525">
                <a:solidFill>
                  <a:srgbClr val="A6802D"/>
                </a:solidFill>
                <a:prstDash val="solid"/>
              </a:ln>
            </spPr>
          </marker>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'PIB Sectorial'!$B$18:$B$22</f>
              <strCache>
                <ptCount val="5"/>
                <pt idx="0">
                  <v>1T-25 P</v>
                </pt>
                <pt idx="1">
                  <v>2T-25 P</v>
                </pt>
                <pt idx="2">
                  <v>3T-25 P</v>
                </pt>
                <pt idx="3">
                  <v>4T-25 P</v>
                </pt>
                <pt idx="4">
                  <v>1T-26 P</v>
                </pt>
              </strCache>
            </strRef>
          </cat>
          <val>
            <numRef>
              <f>'PIB Sectorial'!$F$10:$F$22</f>
              <numCache>
                <formatCode>0.0%</formatCode>
                <ptCount val="13"/>
                <pt idx="0">
                  <v>0.006</v>
                </pt>
                <pt idx="1">
                  <v>0.008</v>
                </pt>
                <pt idx="2">
                  <v>0.008</v>
                </pt>
                <pt idx="3">
                  <v>0</v>
                </pt>
                <pt idx="4">
                  <v>0.006</v>
                </pt>
                <pt idx="5">
                  <v>0</v>
                </pt>
                <pt idx="6">
                  <v>0.011</v>
                </pt>
                <pt idx="7">
                  <v>-0.011</v>
                </pt>
                <pt idx="8">
                  <v>0.006</v>
                </pt>
                <pt idx="9">
                  <v>0.003</v>
                </pt>
                <pt idx="10">
                  <v>-0.001</v>
                </pt>
                <pt idx="11">
                  <v>0.006999999999999999</v>
                </pt>
                <pt idx="12">
                  <v>-0.006</v>
                </pt>
              </numCache>
            </numRef>
          </val>
          <smooth val="0"/>
        </ser>
        <dLbls>
          <showLegendKey val="0"/>
          <showVal val="0"/>
          <showCatName val="0"/>
          <showSerName val="0"/>
          <showPercent val="0"/>
          <showBubbleSize val="0"/>
        </dLbls>
        <marker val="1"/>
        <smooth val="0"/>
        <axId val="537400271"/>
        <axId val="537404015"/>
      </lineChart>
      <catAx>
        <axId val="399461983"/>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399450751"/>
        <crosses val="autoZero"/>
        <auto val="1"/>
        <lblAlgn val="ctr"/>
        <lblOffset val="100"/>
        <noMultiLvlLbl val="0"/>
      </catAx>
      <valAx>
        <axId val="399450751"/>
        <scaling>
          <orientation val="minMax"/>
          <max val="25000000"/>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a:t>Millones de pesos a precios de 2018</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numFmt formatCode="_-&quot;$&quot;* #,##0_-;\-&quot;$&quot;* #,##0_-;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399461983"/>
        <crosses val="autoZero"/>
        <crossBetween val="between"/>
      </valAx>
      <catAx>
        <axId val="537400271"/>
        <scaling>
          <orientation val="minMax"/>
        </scaling>
        <delete val="1"/>
        <axPos val="b"/>
        <numFmt formatCode="General" sourceLinked="1"/>
        <majorTickMark val="out"/>
        <minorTickMark val="none"/>
        <tickLblPos val="nextTo"/>
        <crossAx val="537404015"/>
        <crosses val="autoZero"/>
        <auto val="1"/>
        <lblAlgn val="ctr"/>
        <lblOffset val="100"/>
        <noMultiLvlLbl val="0"/>
      </catAx>
      <valAx>
        <axId val="537404015"/>
        <scaling>
          <orientation val="minMax"/>
        </scaling>
        <delete val="0"/>
        <axPos val="r"/>
        <numFmt formatCode="0.0%" sourceLinked="1"/>
        <majorTickMark val="out"/>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537400271"/>
        <crosses val="max"/>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Indicador Global de Actividad Económica (cifras desestacionalizadas)</a:t>
            </a:r>
          </a:p>
        </rich>
      </tx>
      <overlay val="0"/>
      <spPr>
        <a:noFill/>
        <a:ln>
          <a:noFill/>
          <a:prstDash val="solid"/>
        </a:ln>
      </spPr>
      <txPr>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lineChart>
        <grouping val="standard"/>
        <varyColors val="0"/>
        <ser>
          <idx val="0"/>
          <order val="0"/>
          <tx>
            <strRef>
              <f>IGAE!$C$9</f>
              <strCache>
                <ptCount val="1"/>
                <pt idx="0">
                  <v>Índice de volumen físico</v>
                </pt>
              </strCache>
            </strRef>
          </tx>
          <spPr>
            <a:ln w="38100" cap="rnd">
              <a:solidFill>
                <a:srgbClr val="1E5B4F"/>
              </a:solidFill>
              <a:prstDash val="solid"/>
              <a:round/>
            </a:ln>
          </spPr>
          <marker>
            <symbol val="circle"/>
            <size val="5"/>
            <spPr>
              <a:solidFill>
                <a:srgbClr val="1E5B4F"/>
              </a:solidFill>
              <a:ln w="19050">
                <a:solidFill>
                  <a:srgbClr val="1E5B4F"/>
                </a:solidFill>
                <a:prstDash val="solid"/>
              </a:ln>
            </spPr>
          </marker>
          <dLbls>
            <dLbl>
              <idx val="7"/>
            </dLbl>
            <dLbl>
              <idx val="8"/>
              <dLblPos val="r"/>
              <showLegendKey val="0"/>
              <showVal val="1"/>
              <showCatName val="0"/>
              <showSerName val="0"/>
              <showPercent val="0"/>
              <showBubbleSize val="0"/>
            </dLbl>
            <dLbl>
              <idx val="11"/>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trendline>
            <spPr>
              <a:ln w="19050" cap="rnd">
                <a:solidFill>
                  <a:schemeClr val="accent1"/>
                </a:solidFill>
                <a:prstDash val="sysDot"/>
              </a:ln>
            </spPr>
            <trendlineType val="linear"/>
            <dispRSqr val="0"/>
            <dispEq val="0"/>
          </trendline>
          <cat>
            <strRef>
              <f>IGAE!$B$10:$B$21</f>
              <strCache>
                <ptCount val="12"/>
                <pt idx="0">
                  <v>May 25 R</v>
                </pt>
                <pt idx="1">
                  <v>Jun 25 R</v>
                </pt>
                <pt idx="2">
                  <v>Jul 25 R</v>
                </pt>
                <pt idx="3">
                  <v>Ago 25 R</v>
                </pt>
                <pt idx="4">
                  <v>Sep 25 R</v>
                </pt>
                <pt idx="5">
                  <v>Oct 25 R</v>
                </pt>
                <pt idx="6">
                  <v>Nov 25 R</v>
                </pt>
                <pt idx="7">
                  <v>Dic 25 R</v>
                </pt>
                <pt idx="8">
                  <v>Ene 26 R</v>
                </pt>
                <pt idx="9">
                  <v>Feb 26 R</v>
                </pt>
                <pt idx="10">
                  <v>Mar 26 P</v>
                </pt>
                <pt idx="11">
                  <v>Abr 26 P</v>
                </pt>
              </strCache>
            </strRef>
          </cat>
          <val>
            <numRef>
              <f>IGAE!$C$10:$C$21</f>
              <numCache>
                <formatCode>0.0</formatCode>
                <ptCount val="12"/>
                <pt idx="0">
                  <v>104.977621139718</v>
                </pt>
                <pt idx="1">
                  <v>105.036749181744</v>
                </pt>
                <pt idx="2">
                  <v>104.454057193007</v>
                </pt>
                <pt idx="3">
                  <v>104.964729362259</v>
                </pt>
                <pt idx="4">
                  <v>104.52708789217</v>
                </pt>
                <pt idx="5">
                  <v>105.575132119142</v>
                </pt>
                <pt idx="6">
                  <v>105.476142839221</v>
                </pt>
                <pt idx="7">
                  <v>105.869089017849</v>
                </pt>
                <pt idx="8">
                  <v>104.772484415695</v>
                </pt>
                <pt idx="9">
                  <v>105.072620201876</v>
                </pt>
                <pt idx="10">
                  <v>105.660228515201</v>
                </pt>
                <pt idx="11">
                  <v>106.927124418255</v>
                </pt>
              </numCache>
            </numRef>
          </val>
          <smooth val="0"/>
        </ser>
        <ser>
          <idx val="1"/>
          <order val="1"/>
          <tx>
            <strRef>
              <f>IGAE!$D$9</f>
              <strCache>
                <ptCount val="1"/>
                <pt idx="0">
                  <v>Act. Secundarias</v>
                </pt>
              </strCache>
            </strRef>
          </tx>
          <spPr>
            <a:ln w="28575" cap="rnd">
              <a:solidFill>
                <a:srgbClr val="A6802D"/>
              </a:solidFill>
              <a:prstDash val="solid"/>
              <a:round/>
            </a:ln>
          </spPr>
          <marker>
            <symbol val="none"/>
            <spPr>
              <a:ln>
                <a:prstDash val="solid"/>
              </a:ln>
            </spPr>
          </marker>
          <dLbls>
            <dLbl>
              <idx val="0"/>
              <dLblPos val="b"/>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IGAE!$B$10:$B$21</f>
              <strCache>
                <ptCount val="12"/>
                <pt idx="0">
                  <v>May 25 R</v>
                </pt>
                <pt idx="1">
                  <v>Jun 25 R</v>
                </pt>
                <pt idx="2">
                  <v>Jul 25 R</v>
                </pt>
                <pt idx="3">
                  <v>Ago 25 R</v>
                </pt>
                <pt idx="4">
                  <v>Sep 25 R</v>
                </pt>
                <pt idx="5">
                  <v>Oct 25 R</v>
                </pt>
                <pt idx="6">
                  <v>Nov 25 R</v>
                </pt>
                <pt idx="7">
                  <v>Dic 25 R</v>
                </pt>
                <pt idx="8">
                  <v>Ene 26 R</v>
                </pt>
                <pt idx="9">
                  <v>Feb 26 R</v>
                </pt>
                <pt idx="10">
                  <v>Mar 26 P</v>
                </pt>
                <pt idx="11">
                  <v>Abr 26 P</v>
                </pt>
              </strCache>
            </strRef>
          </cat>
          <val>
            <numRef>
              <f>IGAE!$D$10:$D$21</f>
              <numCache>
                <formatCode>0.0</formatCode>
                <ptCount val="12"/>
                <pt idx="0">
                  <v>104.4</v>
                </pt>
                <pt idx="1">
                  <v>100.87</v>
                </pt>
                <pt idx="2">
                  <v>101.58</v>
                </pt>
                <pt idx="3">
                  <v>101.39</v>
                </pt>
                <pt idx="4">
                  <v>99.56</v>
                </pt>
                <pt idx="5">
                  <v>104.81</v>
                </pt>
                <pt idx="6">
                  <v>101.45</v>
                </pt>
                <pt idx="7">
                  <v>98.38</v>
                </pt>
                <pt idx="8">
                  <v>96.62</v>
                </pt>
                <pt idx="9">
                  <v>95.8</v>
                </pt>
                <pt idx="10">
                  <v>102.75</v>
                </pt>
                <pt idx="11">
                  <v>102.52</v>
                </pt>
              </numCache>
            </numRef>
          </val>
          <smooth val="0"/>
        </ser>
        <ser>
          <idx val="2"/>
          <order val="2"/>
          <tx>
            <strRef>
              <f>IGAE!$E$9</f>
              <strCache>
                <ptCount val="1"/>
                <pt idx="0">
                  <v>Act. Terciarias</v>
                </pt>
              </strCache>
            </strRef>
          </tx>
          <spPr>
            <a:ln w="28575" cap="rnd">
              <a:solidFill>
                <a:srgbClr val="9C2348"/>
              </a:solidFill>
              <a:prstDash val="solid"/>
              <a:round/>
            </a:ln>
          </spPr>
          <marker>
            <symbol val="circle"/>
            <size val="5"/>
            <spPr>
              <a:solidFill>
                <a:srgbClr val="9C2348"/>
              </a:solidFill>
              <a:ln w="9525">
                <a:solidFill>
                  <a:srgbClr val="9C2348"/>
                </a:solidFill>
                <a:prstDash val="solid"/>
              </a:ln>
            </spPr>
          </marker>
          <dLbls>
            <dLbl>
              <idx val="0"/>
            </dLbl>
            <dLbl>
              <idx val="3"/>
            </dLbl>
            <dLbl>
              <idx val="11"/>
              <dLblPos val="r"/>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IGAE!$B$10:$B$21</f>
              <strCache>
                <ptCount val="12"/>
                <pt idx="0">
                  <v>May 25 R</v>
                </pt>
                <pt idx="1">
                  <v>Jun 25 R</v>
                </pt>
                <pt idx="2">
                  <v>Jul 25 R</v>
                </pt>
                <pt idx="3">
                  <v>Ago 25 R</v>
                </pt>
                <pt idx="4">
                  <v>Sep 25 R</v>
                </pt>
                <pt idx="5">
                  <v>Oct 25 R</v>
                </pt>
                <pt idx="6">
                  <v>Nov 25 R</v>
                </pt>
                <pt idx="7">
                  <v>Dic 25 R</v>
                </pt>
                <pt idx="8">
                  <v>Ene 26 R</v>
                </pt>
                <pt idx="9">
                  <v>Feb 26 R</v>
                </pt>
                <pt idx="10">
                  <v>Mar 26 P</v>
                </pt>
                <pt idx="11">
                  <v>Abr 26 P</v>
                </pt>
              </strCache>
            </strRef>
          </cat>
          <val>
            <numRef>
              <f>IGAE!$E$10:$E$21</f>
              <numCache>
                <formatCode>0.0</formatCode>
                <ptCount val="12"/>
                <pt idx="0">
                  <v>106.8</v>
                </pt>
                <pt idx="1">
                  <v>107</v>
                </pt>
                <pt idx="2">
                  <v>106.9</v>
                </pt>
                <pt idx="3">
                  <v>107.4</v>
                </pt>
                <pt idx="4">
                  <v>107</v>
                </pt>
                <pt idx="5">
                  <v>108.2</v>
                </pt>
                <pt idx="6">
                  <v>107.8</v>
                </pt>
                <pt idx="7">
                  <v>108</v>
                </pt>
                <pt idx="8">
                  <v>107.4</v>
                </pt>
                <pt idx="9">
                  <v>107.5</v>
                </pt>
                <pt idx="10">
                  <v>108.5</v>
                </pt>
                <pt idx="11">
                  <v>109.2</v>
                </pt>
              </numCache>
            </numRef>
          </val>
          <smooth val="0"/>
        </ser>
        <dLbls>
          <showLegendKey val="0"/>
          <showVal val="0"/>
          <showCatName val="0"/>
          <showSerName val="0"/>
          <showPercent val="0"/>
          <showBubbleSize val="0"/>
        </dLbls>
        <marker val="1"/>
        <smooth val="0"/>
        <axId val="1119866432"/>
        <axId val="1119873088"/>
      </lineChart>
      <catAx>
        <axId val="1119866432"/>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119873088"/>
        <crosses val="autoZero"/>
        <auto val="1"/>
        <lblAlgn val="ctr"/>
        <lblOffset val="100"/>
        <noMultiLvlLbl val="0"/>
      </catAx>
      <valAx>
        <axId val="1119873088"/>
        <scaling>
          <orientation val="minMax"/>
          <min val="95"/>
        </scaling>
        <delete val="0"/>
        <axPos val="l"/>
        <majorGridlines>
          <spPr>
            <a:ln w="9525" cap="flat" cmpd="sng" algn="ctr">
              <a:solidFill>
                <a:schemeClr val="tx1">
                  <a:lumMod val="15000"/>
                  <a:lumOff val="85000"/>
                </a:schemeClr>
              </a:solidFill>
              <a:prstDash val="solid"/>
              <a:round/>
            </a:ln>
          </spPr>
        </majorGridlines>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119866432"/>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zero"/>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Indicador Mensual de Actividad Industrial, cifras</a:t>
            </a:r>
            <a:r>
              <a:rPr lang="es-MX" sz="1600" b="1" baseline="0"/>
              <a:t xml:space="preserve"> desestacionalizadas</a:t>
            </a:r>
            <a:r>
              <a:rPr lang="es-MX" sz="1600" b="1"/>
              <a:t xml:space="preserve"> (Base 100 = 2018)</a:t>
            </a:r>
          </a:p>
        </rich>
      </tx>
      <overlay val="0"/>
      <spPr>
        <a:noFill/>
        <a:ln>
          <a:noFill/>
          <a:prstDash val="solid"/>
        </a:ln>
      </spPr>
      <txPr>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barChart>
        <barDir val="col"/>
        <grouping val="clustered"/>
        <varyColors val="0"/>
        <ser>
          <idx val="0"/>
          <order val="0"/>
          <tx>
            <strRef>
              <f>IMAI!$C$9</f>
              <strCache>
                <ptCount val="1"/>
                <pt idx="0">
                  <v>Índice de volumen físico</v>
                </pt>
              </strCache>
            </strRef>
          </tx>
          <spPr>
            <a:solidFill>
              <a:srgbClr val="1E5B4F"/>
            </a:solidFill>
            <a:ln>
              <a:noFill/>
              <a:prstDash val="solid"/>
            </a:ln>
          </spPr>
          <invertIfNegative val="0"/>
          <dPt>
            <idx val="4"/>
            <invertIfNegative val="0"/>
            <bubble3D val="0"/>
            <spPr>
              <a:solidFill>
                <a:srgbClr val="9C2348"/>
              </a:solidFill>
              <a:ln>
                <a:noFill/>
                <a:prstDash val="solid"/>
              </a:ln>
            </spPr>
          </dPt>
          <dLbls>
            <dLbl>
              <idx val="9"/>
              <spPr>
                <a:noFill/>
                <a:ln>
                  <a:noFill/>
                  <a:prstDash val="solid"/>
                </a:ln>
              </spPr>
              <txPr>
                <a:bodyPr rot="0" spcFirstLastPara="1" vertOverflow="ellipsis" vert="horz" wrap="square" anchor="ctr" anchorCtr="1"/>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showLegendKey val="0"/>
              <showVal val="1"/>
              <showCatName val="0"/>
              <showSerName val="0"/>
              <showPercent val="0"/>
              <showBubbleSize val="0"/>
            </dLbl>
            <dLbl>
              <idx val="11"/>
              <dLblPos val="outEnd"/>
              <showLegendKey val="0"/>
              <showVal val="1"/>
              <showCatName val="0"/>
              <showSerName val="0"/>
              <showPercent val="0"/>
              <showBubbleSize val="0"/>
            </dLbl>
            <spPr>
              <a:noFill/>
              <a:ln>
                <a:noFill/>
                <a:prstDash val="solid"/>
              </a:ln>
            </spPr>
            <txPr>
              <a:bodyPr rot="0" spcFirstLastPara="1" vertOverflow="ellipsis" vert="horz" wrap="square" anchor="ctr" anchorCtr="1"/>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showLegendKey val="0"/>
            <showVal val="1"/>
            <showCatName val="0"/>
            <showSerName val="0"/>
            <showPercent val="0"/>
            <showBubbleSize val="0"/>
            <showLeaderLines val="0"/>
          </dLbls>
          <trendline>
            <spPr>
              <a:ln w="19050" cap="rnd">
                <a:solidFill>
                  <a:schemeClr val="accent1"/>
                </a:solidFill>
                <a:prstDash val="sysDot"/>
              </a:ln>
            </spPr>
            <trendlineType val="linear"/>
            <dispRSqr val="0"/>
            <dispEq val="0"/>
          </trendline>
          <cat>
            <strRef>
              <f>IMAI!$B$10:$B$21</f>
              <strCache>
                <ptCount val="12"/>
                <pt idx="0">
                  <v>May 25 P</v>
                </pt>
                <pt idx="1">
                  <v>Jun 25 P</v>
                </pt>
                <pt idx="2">
                  <v>Jul 25 P</v>
                </pt>
                <pt idx="3">
                  <v>Ago 25 P</v>
                </pt>
                <pt idx="4">
                  <v>Sep 25 P</v>
                </pt>
                <pt idx="5">
                  <v>Oct 25 P</v>
                </pt>
                <pt idx="6">
                  <v>Nov 25 P</v>
                </pt>
                <pt idx="7">
                  <v>Dic 25 P</v>
                </pt>
                <pt idx="8">
                  <v>Ene 26 P</v>
                </pt>
                <pt idx="9">
                  <v>Feb 26 P</v>
                </pt>
                <pt idx="10">
                  <v>Mar 26 P</v>
                </pt>
                <pt idx="11">
                  <v>Abr 26 P</v>
                </pt>
              </strCache>
            </strRef>
          </cat>
          <val>
            <numRef>
              <f>IMAI!$C$10:$C$21</f>
              <numCache>
                <formatCode>0.0</formatCode>
                <ptCount val="12"/>
                <pt idx="0">
                  <v>101.6</v>
                </pt>
                <pt idx="1">
                  <v>101.2</v>
                </pt>
                <pt idx="2">
                  <v>100.2</v>
                </pt>
                <pt idx="3">
                  <v>100</v>
                </pt>
                <pt idx="4">
                  <v>99.90000000000001</v>
                </pt>
                <pt idx="5">
                  <v>100.7</v>
                </pt>
                <pt idx="6">
                  <v>101.3</v>
                </pt>
                <pt idx="7">
                  <v>100.4</v>
                </pt>
                <pt idx="8">
                  <v>100.8</v>
                </pt>
                <pt idx="9">
                  <v>104.4568568234</v>
                </pt>
                <pt idx="10">
                  <v>100.3</v>
                </pt>
                <pt idx="11">
                  <v>102.4</v>
                </pt>
              </numCache>
            </numRef>
          </val>
        </ser>
        <dLbls>
          <showLegendKey val="0"/>
          <showVal val="0"/>
          <showCatName val="0"/>
          <showSerName val="0"/>
          <showPercent val="0"/>
          <showBubbleSize val="0"/>
        </dLbls>
        <gapWidth val="100"/>
        <overlap val="-27"/>
        <axId val="604682431"/>
        <axId val="604685759"/>
      </barChart>
      <lineChart>
        <grouping val="standard"/>
        <varyColors val="0"/>
        <ser>
          <idx val="1"/>
          <order val="1"/>
          <tx>
            <strRef>
              <f>IMAI!$D$9</f>
              <strCache>
                <ptCount val="1"/>
                <pt idx="0">
                  <v>Var. mensual (%)</v>
                </pt>
              </strCache>
            </strRef>
          </tx>
          <spPr>
            <a:ln w="28575" cap="rnd">
              <a:solidFill>
                <a:srgbClr val="A6802D"/>
              </a:solidFill>
              <a:prstDash val="solid"/>
              <a:round/>
            </a:ln>
          </spPr>
          <marker>
            <symbol val="circle"/>
            <size val="5"/>
            <spPr>
              <a:solidFill>
                <a:srgbClr val="A6802D"/>
              </a:solidFill>
              <a:ln w="9525">
                <a:solidFill>
                  <a:srgbClr val="A6802D"/>
                </a:solidFill>
                <a:prstDash val="solid"/>
              </a:ln>
            </spPr>
          </marker>
          <dLbls>
            <dLbl>
              <idx val="2"/>
              <spPr>
                <a:noFill/>
                <a:ln>
                  <a:noFill/>
                  <a:prstDash val="solid"/>
                </a:ln>
              </spPr>
              <txPr>
                <a:bodyPr rot="0" spcFirstLastPara="1" vertOverflow="ellipsis" vert="horz" wrap="square" anchor="ctr" anchorCtr="1"/>
                <a:lstStyle/>
                <a:p>
                  <a:pPr>
                    <a:defRPr sz="900" b="0" i="0" strike="noStrike" kern="1200" baseline="0">
                      <a:solidFill>
                        <a:schemeClr val="bg1"/>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b"/>
              <showLegendKey val="0"/>
              <showVal val="1"/>
              <showCatName val="0"/>
              <showSerName val="0"/>
              <showPercent val="0"/>
              <showBubbleSize val="0"/>
            </dLbl>
            <dLbl>
              <idx val="6"/>
            </dLbl>
            <dLbl>
              <idx val="7"/>
              <dLblPos val="b"/>
              <showLegendKey val="0"/>
              <showVal val="1"/>
              <showCatName val="0"/>
              <showSerName val="0"/>
              <showPercent val="0"/>
              <showBubbleSize val="0"/>
            </dLbl>
            <dLbl>
              <idx val="9"/>
              <spPr>
                <a:solidFill>
                  <a:sysClr val="window" lastClr="FFFFFF"/>
                </a:solidFill>
                <a:ln>
                  <a:solidFill>
                    <a:sysClr val="windowText" lastClr="000000">
                      <a:lumOff val="75000"/>
                      <a:lumMod val="25000"/>
                    </a:sysClr>
                  </a:solidFill>
                  <a:prstDash val="solid"/>
                </a:ln>
              </spPr>
              <txPr>
                <a:bodyPr rot="0" spcFirstLastPara="1" vertOverflow="clip" horzOverflow="clip" vert="horz" wrap="square" lIns="36576" tIns="18288" rIns="36576" bIns="18288"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dLbl>
            <dLbl>
              <idx val="10"/>
              <spPr>
                <a:noFill/>
                <a:ln>
                  <a:noFill/>
                  <a:prstDash val="solid"/>
                </a:ln>
              </spPr>
              <txPr>
                <a:bodyPr rot="0" spcFirstLastPara="1" vertOverflow="ellipsis" vert="horz" wrap="square" anchor="ctr" anchorCtr="1"/>
                <a:lstStyle/>
                <a:p>
                  <a:pPr>
                    <a:defRPr sz="900" b="0" i="0" strike="noStrike" kern="1200" baseline="0">
                      <a:solidFill>
                        <a:schemeClr val="bg1"/>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b"/>
              <showLegendKey val="0"/>
              <showVal val="1"/>
              <showCatName val="0"/>
              <showSerName val="0"/>
              <showPercent val="0"/>
              <showBubbleSize val="0"/>
            </dLbl>
            <spPr>
              <a:noFill/>
              <a:ln>
                <a:noFill/>
                <a:prstDash val="solid"/>
              </a:ln>
            </spPr>
            <txPr>
              <a:bodyPr rot="0" spcFirstLastPara="1" vertOverflow="ellipsis" vert="horz" wrap="square" anchor="ctr" anchorCtr="1"/>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IMAI!$B$10:$B$21</f>
              <strCache>
                <ptCount val="12"/>
                <pt idx="0">
                  <v>May 25 P</v>
                </pt>
                <pt idx="1">
                  <v>Jun 25 P</v>
                </pt>
                <pt idx="2">
                  <v>Jul 25 P</v>
                </pt>
                <pt idx="3">
                  <v>Ago 25 P</v>
                </pt>
                <pt idx="4">
                  <v>Sep 25 P</v>
                </pt>
                <pt idx="5">
                  <v>Oct 25 P</v>
                </pt>
                <pt idx="6">
                  <v>Nov 25 P</v>
                </pt>
                <pt idx="7">
                  <v>Dic 25 P</v>
                </pt>
                <pt idx="8">
                  <v>Ene 26 P</v>
                </pt>
                <pt idx="9">
                  <v>Feb 26 P</v>
                </pt>
                <pt idx="10">
                  <v>Mar 26 P</v>
                </pt>
                <pt idx="11">
                  <v>Abr 26 P</v>
                </pt>
              </strCache>
            </strRef>
          </cat>
          <val>
            <numRef>
              <f>IMAI!$D$10:$D$21</f>
              <numCache>
                <formatCode>0.0%</formatCode>
                <ptCount val="12"/>
                <pt idx="0">
                  <v>0.0009</v>
                </pt>
                <pt idx="1">
                  <v>-0.00393700787401563</v>
                </pt>
                <pt idx="2">
                  <v>-0.00988142292490124</v>
                </pt>
                <pt idx="3">
                  <v>-0.001996007984031989</v>
                </pt>
                <pt idx="4">
                  <v>-0.0009999999999998899</v>
                </pt>
                <pt idx="5">
                  <v>0.00800800800800805</v>
                </pt>
                <pt idx="6">
                  <v>0.005958291956305706</v>
                </pt>
                <pt idx="7">
                  <v>-0.008884501480750151</v>
                </pt>
                <pt idx="8">
                  <v>0.003984063745019917</v>
                </pt>
                <pt idx="9">
                  <v>0.03627834150198428</v>
                </pt>
                <pt idx="10">
                  <v>-0.03979496367986446</v>
                </pt>
                <pt idx="11">
                  <v>0.02093718843469605</v>
                </pt>
              </numCache>
            </numRef>
          </val>
          <smooth val="0"/>
        </ser>
        <dLbls>
          <showLegendKey val="0"/>
          <showVal val="0"/>
          <showCatName val="0"/>
          <showSerName val="0"/>
          <showPercent val="0"/>
          <showBubbleSize val="0"/>
        </dLbls>
        <marker val="1"/>
        <smooth val="0"/>
        <axId val="604692831"/>
        <axId val="604672863"/>
      </lineChart>
      <catAx>
        <axId val="604682431"/>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604685759"/>
        <crosses val="autoZero"/>
        <auto val="1"/>
        <lblAlgn val="ctr"/>
        <lblOffset val="100"/>
        <noMultiLvlLbl val="0"/>
      </catAx>
      <valAx>
        <axId val="604685759"/>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a:t>Índice de volumen físico base 100 = 2018</a:t>
                </a:r>
              </a:p>
            </rich>
          </tx>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numFmt formatCode="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604682431"/>
        <crosses val="autoZero"/>
        <crossBetween val="between"/>
      </valAx>
      <catAx>
        <axId val="604692831"/>
        <scaling>
          <orientation val="minMax"/>
        </scaling>
        <delete val="1"/>
        <axPos val="b"/>
        <numFmt formatCode="General" sourceLinked="1"/>
        <majorTickMark val="none"/>
        <minorTickMark val="none"/>
        <tickLblPos val="nextTo"/>
        <crossAx val="604672863"/>
        <crosses val="autoZero"/>
        <auto val="1"/>
        <lblAlgn val="ctr"/>
        <lblOffset val="100"/>
        <noMultiLvlLbl val="0"/>
      </catAx>
      <valAx>
        <axId val="604672863"/>
        <scaling>
          <orientation val="minMax"/>
        </scaling>
        <delete val="0"/>
        <axPos val="r"/>
        <numFmt formatCode="0.0%" sourceLinked="1"/>
        <majorTickMark val="none"/>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604692831"/>
        <crosses val="max"/>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s-MX"/>
              <a:t>Exportaciones 2024</a:t>
            </a:r>
            <a:r>
              <a:rPr lang="es-MX" baseline="0"/>
              <a:t xml:space="preserve"> - 2026, millones de dólares</a:t>
            </a:r>
            <a:r>
              <a:rPr lang="es-MX"/>
              <a:t> </a:t>
            </a:r>
          </a:p>
        </rich>
      </tx>
      <layout/>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s-MX"/>
        </a:p>
      </txPr>
    </title>
    <plotArea>
      <layout/>
      <barChart>
        <barDir val="col"/>
        <grouping val="clustered"/>
        <varyColors val="0"/>
        <ser>
          <idx val="0"/>
          <order val="0"/>
          <tx>
            <strRef>
              <f>Exportaciones!$C$9</f>
              <strCache>
                <ptCount val="1"/>
                <pt idx="0">
                  <v>Exportaciones</v>
                </pt>
              </strCache>
            </strRef>
          </tx>
          <spPr>
            <a:solidFill>
              <a:srgbClr val="1E5B4F"/>
            </a:solidFill>
            <a:ln>
              <a:solidFill>
                <a:srgbClr val="1E5B4F"/>
              </a:solidFill>
              <a:prstDash val="solid"/>
            </a:ln>
          </spPr>
          <invertIfNegative val="0"/>
          <cat>
            <strRef>
              <f>Exportaciones!$B$10:$B$34</f>
              <strCache>
                <ptCount val="25"/>
                <pt idx="0">
                  <v>May 24</v>
                </pt>
                <pt idx="1">
                  <v>Jun 24</v>
                </pt>
                <pt idx="2">
                  <v>Jul 24</v>
                </pt>
                <pt idx="3">
                  <v>Ago 24</v>
                </pt>
                <pt idx="4">
                  <v>Sep 24</v>
                </pt>
                <pt idx="5">
                  <v>Oct 24</v>
                </pt>
                <pt idx="6">
                  <v>Nov 24</v>
                </pt>
                <pt idx="7">
                  <v>Dic 24</v>
                </pt>
                <pt idx="8">
                  <v>Ene 25</v>
                </pt>
                <pt idx="9">
                  <v>Feb 25</v>
                </pt>
                <pt idx="10">
                  <v>Mar 25</v>
                </pt>
                <pt idx="11">
                  <v>Abr 25</v>
                </pt>
                <pt idx="12">
                  <v>May 25</v>
                </pt>
                <pt idx="13">
                  <v>Jun 25</v>
                </pt>
                <pt idx="14">
                  <v>Jul 25</v>
                </pt>
                <pt idx="15">
                  <v>Ago 25</v>
                </pt>
                <pt idx="16">
                  <v>Sep 25</v>
                </pt>
                <pt idx="17">
                  <v>Oct 25</v>
                </pt>
                <pt idx="18">
                  <v>Nov 25</v>
                </pt>
                <pt idx="19">
                  <v>Dic 25</v>
                </pt>
                <pt idx="20">
                  <v>Ene 26</v>
                </pt>
                <pt idx="21">
                  <v>Feb 26</v>
                </pt>
                <pt idx="22">
                  <v>Mar 26</v>
                </pt>
                <pt idx="23">
                  <v>Abr 26</v>
                </pt>
                <pt idx="24">
                  <v>May 26 O</v>
                </pt>
              </strCache>
            </strRef>
          </cat>
          <val>
            <numRef>
              <f>Exportaciones!$C$10:$C$34</f>
              <numCache>
                <formatCode>_-"$"* #,##0_-;\-"$"* #,##0_-;_-"$"* "-"??_-;_-@_-</formatCode>
                <ptCount val="25"/>
                <pt idx="0">
                  <v>55754.041</v>
                </pt>
                <pt idx="1">
                  <v>48824.268</v>
                </pt>
                <pt idx="2">
                  <v>54550.711</v>
                </pt>
                <pt idx="3">
                  <v>51902.528</v>
                </pt>
                <pt idx="4">
                  <v>49629.743</v>
                </pt>
                <pt idx="5">
                  <v>57897.71</v>
                </pt>
                <pt idx="6">
                  <v>52264.794</v>
                </pt>
                <pt idx="7">
                  <v>51754.359</v>
                </pt>
                <pt idx="8">
                  <v>44398.267</v>
                </pt>
                <pt idx="9">
                  <v>49098.535</v>
                </pt>
                <pt idx="10">
                  <v>55404.972</v>
                </pt>
                <pt idx="11">
                  <v>54347.764</v>
                </pt>
                <pt idx="12">
                  <v>55476.735</v>
                </pt>
                <pt idx="13">
                  <v>54001.827</v>
                </pt>
                <pt idx="14">
                  <v>56707.774</v>
                </pt>
                <pt idx="15">
                  <v>55718.184</v>
                </pt>
                <pt idx="16">
                  <v>56487.938</v>
                </pt>
                <pt idx="17">
                  <v>66132.55100000001</v>
                </pt>
                <pt idx="18">
                  <v>56411.894</v>
                </pt>
                <pt idx="19">
                  <v>60650.727</v>
                </pt>
                <pt idx="20">
                  <v>48007.823</v>
                </pt>
                <pt idx="21">
                  <v>56851.119</v>
                </pt>
                <pt idx="22">
                  <v>70727.019</v>
                </pt>
                <pt idx="23">
                  <v>72041.829</v>
                </pt>
                <pt idx="24">
                  <v>69544.49099999999</v>
                </pt>
              </numCache>
            </numRef>
          </val>
        </ser>
        <dLbls>
          <showLegendKey val="0"/>
          <showVal val="0"/>
          <showCatName val="0"/>
          <showSerName val="0"/>
          <showPercent val="0"/>
          <showBubbleSize val="0"/>
        </dLbls>
        <gapWidth val="100"/>
        <overlap val="-27"/>
        <axId val="477923072"/>
        <axId val="477921280"/>
      </barChart>
      <lineChart>
        <grouping val="standard"/>
        <varyColors val="0"/>
        <ser>
          <idx val="1"/>
          <order val="1"/>
          <tx>
            <strRef>
              <f>Exportaciones!$D$9</f>
              <strCache>
                <ptCount val="1"/>
                <pt idx="0">
                  <v xml:space="preserve">Var. Anual </v>
                </pt>
              </strCache>
            </strRef>
          </tx>
          <spPr>
            <a:ln w="38100" cap="rnd">
              <a:solidFill>
                <a:srgbClr val="A6802D"/>
              </a:solidFill>
              <a:prstDash val="solid"/>
              <a:round/>
            </a:ln>
          </spPr>
          <marker>
            <symbol val="none"/>
            <spPr>
              <a:ln>
                <a:prstDash val="solid"/>
              </a:ln>
            </spPr>
          </marker>
          <dLbls>
            <dLbl>
              <idx val="14"/>
              <dLblPos val="b"/>
              <showLegendKey val="0"/>
              <showVal val="1"/>
              <showCatName val="0"/>
              <showSerName val="0"/>
              <showPercent val="0"/>
              <showBubbleSize val="0"/>
            </dLbl>
            <dLbl>
              <idx val="15"/>
              <dLblPos val="r"/>
              <showLegendKey val="0"/>
              <showVal val="1"/>
              <showCatName val="0"/>
              <showSerName val="0"/>
              <showPercent val="0"/>
              <showBubbleSize val="0"/>
            </dLbl>
            <dLbl>
              <idx val="18"/>
              <dLblPos val="b"/>
              <showLegendKey val="0"/>
              <showVal val="1"/>
              <showCatName val="0"/>
              <showSerName val="0"/>
              <showPercent val="0"/>
              <showBubbleSize val="0"/>
            </dLbl>
            <dLbl>
              <idx val="20"/>
              <dLblPos val="b"/>
              <showLegendKey val="0"/>
              <showVal val="1"/>
              <showCatName val="0"/>
              <showSerName val="0"/>
              <showPercent val="0"/>
              <showBubbleSize val="0"/>
            </dLbl>
            <dLbl>
              <idx val="21"/>
              <dLblPos val="r"/>
              <showLegendKey val="0"/>
              <showVal val="1"/>
              <showCatName val="0"/>
              <showSerName val="0"/>
              <showPercent val="0"/>
              <showBubbleSize val="0"/>
            </dLbl>
            <dLbl>
              <idx val="24"/>
              <dLblPos val="b"/>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A6802D"/>
                    </a:solidFill>
                    <a:latin typeface="+mn-lt"/>
                    <a:ea typeface="+mn-ea"/>
                    <a:cs typeface="+mn-cs"/>
                  </a:defRPr>
                </a:pPr>
                <a:r>
                  <a:t/>
                </a:r>
                <a:endParaRPr lang="es-MX"/>
              </a:p>
            </txPr>
            <dLblPos val="t"/>
            <showLegendKey val="0"/>
            <showVal val="1"/>
            <showCatName val="0"/>
            <showSerName val="0"/>
            <showPercent val="0"/>
            <showBubbleSize val="0"/>
            <showLeaderLines val="0"/>
          </dLbls>
          <cat>
            <strRef>
              <f>Exportaciones!$B$10:$B$34</f>
              <strCache>
                <ptCount val="25"/>
                <pt idx="0">
                  <v>May 24</v>
                </pt>
                <pt idx="1">
                  <v>Jun 24</v>
                </pt>
                <pt idx="2">
                  <v>Jul 24</v>
                </pt>
                <pt idx="3">
                  <v>Ago 24</v>
                </pt>
                <pt idx="4">
                  <v>Sep 24</v>
                </pt>
                <pt idx="5">
                  <v>Oct 24</v>
                </pt>
                <pt idx="6">
                  <v>Nov 24</v>
                </pt>
                <pt idx="7">
                  <v>Dic 24</v>
                </pt>
                <pt idx="8">
                  <v>Ene 25</v>
                </pt>
                <pt idx="9">
                  <v>Feb 25</v>
                </pt>
                <pt idx="10">
                  <v>Mar 25</v>
                </pt>
                <pt idx="11">
                  <v>Abr 25</v>
                </pt>
                <pt idx="12">
                  <v>May 25</v>
                </pt>
                <pt idx="13">
                  <v>Jun 25</v>
                </pt>
                <pt idx="14">
                  <v>Jul 25</v>
                </pt>
                <pt idx="15">
                  <v>Ago 25</v>
                </pt>
                <pt idx="16">
                  <v>Sep 25</v>
                </pt>
                <pt idx="17">
                  <v>Oct 25</v>
                </pt>
                <pt idx="18">
                  <v>Nov 25</v>
                </pt>
                <pt idx="19">
                  <v>Dic 25</v>
                </pt>
                <pt idx="20">
                  <v>Ene 26</v>
                </pt>
                <pt idx="21">
                  <v>Feb 26</v>
                </pt>
                <pt idx="22">
                  <v>Mar 26</v>
                </pt>
                <pt idx="23">
                  <v>Abr 26</v>
                </pt>
                <pt idx="24">
                  <v>May 26 O</v>
                </pt>
              </strCache>
            </strRef>
          </cat>
          <val>
            <numRef>
              <f>Exportaciones!$D$10:$D$34</f>
              <numCache>
                <formatCode>0.0%</formatCode>
                <ptCount val="25"/>
                <pt idx="13">
                  <v>0.1060447849417836</v>
                </pt>
                <pt idx="14">
                  <v>0.03954234437017679</v>
                </pt>
                <pt idx="15">
                  <v>0.07351580254433854</v>
                </pt>
                <pt idx="16">
                  <v>0.1381871955291003</v>
                </pt>
                <pt idx="17">
                  <v>0.1422308585261836</v>
                </pt>
                <pt idx="18">
                  <v>0.0793478684714608</v>
                </pt>
                <pt idx="19">
                  <v>0.1718960136285332</v>
                </pt>
                <pt idx="20">
                  <v>0.08129947954950567</v>
                </pt>
                <pt idx="21">
                  <v>0.1578984790483056</v>
                </pt>
                <pt idx="22">
                  <v>0.2765464261943855</v>
                </pt>
                <pt idx="23">
                  <v>0.3255711679325022</v>
                </pt>
                <pt idx="24">
                  <v>0.2535793788152816</v>
                </pt>
              </numCache>
            </numRef>
          </val>
          <smooth val="0"/>
        </ser>
        <dLbls>
          <showLegendKey val="0"/>
          <showVal val="0"/>
          <showCatName val="0"/>
          <showSerName val="0"/>
          <showPercent val="0"/>
          <showBubbleSize val="0"/>
        </dLbls>
        <marker val="1"/>
        <smooth val="0"/>
        <axId val="477931584"/>
        <axId val="477932032"/>
      </lineChart>
      <catAx>
        <axId val="477923072"/>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crossAx val="477921280"/>
        <crosses val="autoZero"/>
        <auto val="1"/>
        <lblAlgn val="ctr"/>
        <lblOffset val="100"/>
        <noMultiLvlLbl val="0"/>
      </catAx>
      <valAx>
        <axId val="477921280"/>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quot;$&quot;* #,##0_-;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crossAx val="477923072"/>
        <crosses val="autoZero"/>
        <crossBetween val="between"/>
      </valAx>
      <catAx>
        <axId val="477931584"/>
        <scaling>
          <orientation val="minMax"/>
        </scaling>
        <delete val="1"/>
        <axPos val="b"/>
        <numFmt formatCode="General" sourceLinked="1"/>
        <majorTickMark val="none"/>
        <minorTickMark val="none"/>
        <tickLblPos val="nextTo"/>
        <crossAx val="477932032"/>
        <crosses val="autoZero"/>
        <auto val="1"/>
        <lblAlgn val="ctr"/>
        <lblOffset val="100"/>
        <noMultiLvlLbl val="0"/>
      </catAx>
      <valAx>
        <axId val="477932032"/>
        <scaling>
          <orientation val="minMax"/>
        </scaling>
        <delete val="0"/>
        <axPos val="r"/>
        <numFmt formatCode="0.0%" sourceLinked="1"/>
        <majorTickMark val="none"/>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crossAx val="477931584"/>
        <crosses val="max"/>
        <crossBetween val="between"/>
      </valAx>
    </plotArea>
    <legend>
      <legendPos val="t"/>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b="1"/>
              <a:t xml:space="preserve">Exportaciones e importaciones de México (valores absolutos, mdd) </a:t>
            </a:r>
          </a:p>
        </rich>
      </tx>
      <layout/>
      <overlay val="0"/>
      <spPr>
        <a:noFill/>
        <a:ln>
          <a:noFill/>
          <a:prstDash val="solid"/>
        </a:ln>
      </spPr>
      <txPr>
        <a:bodyPr rot="0" spcFirstLastPara="1" vertOverflow="ellipsis" vert="horz" wrap="square" anchor="ctr" anchorCtr="1"/>
        <a:lstStyle/>
        <a:p>
          <a:pPr>
            <a:defRPr sz="14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barChart>
        <barDir val="col"/>
        <grouping val="clustered"/>
        <varyColors val="0"/>
        <ser>
          <idx val="0"/>
          <order val="0"/>
          <tx>
            <strRef>
              <f>'Balanza comercial'!$C$9</f>
              <strCache>
                <ptCount val="1"/>
                <pt idx="0">
                  <v>Exportaciones</v>
                </pt>
              </strCache>
            </strRef>
          </tx>
          <spPr>
            <a:solidFill>
              <a:srgbClr val="9C2348"/>
            </a:solidFill>
            <a:ln>
              <a:noFill/>
              <a:prstDash val="solid"/>
            </a:ln>
          </spPr>
          <invertIfNegative val="0"/>
          <dLbls>
            <dLbl>
              <idx val="1"/>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outEnd"/>
              <showLegendKey val="0"/>
              <showVal val="1"/>
              <showCatName val="0"/>
              <showSerName val="0"/>
              <showPercent val="0"/>
              <showBubbleSize val="0"/>
            </dLbl>
            <dLbl>
              <idx val="2"/>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outEnd"/>
              <showLegendKey val="0"/>
              <showVal val="1"/>
              <showCatName val="0"/>
              <showSerName val="0"/>
              <showPercent val="0"/>
              <showBubbleSize val="0"/>
            </dLbl>
            <dLbl>
              <idx val="3"/>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outEnd"/>
              <showLegendKey val="0"/>
              <showVal val="1"/>
              <showCatName val="0"/>
              <showSerName val="0"/>
              <showPercent val="0"/>
              <showBubbleSize val="0"/>
            </dLbl>
            <dLbl>
              <idx val="7"/>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outEnd"/>
              <showLegendKey val="0"/>
              <showVal val="1"/>
              <showCatName val="0"/>
              <showSerName val="0"/>
              <showPercent val="0"/>
              <showBubbleSize val="0"/>
            </dLbl>
            <dLbl>
              <idx val="8"/>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outEnd"/>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outEnd"/>
            <showLegendKey val="0"/>
            <showVal val="1"/>
            <showCatName val="0"/>
            <showSerName val="0"/>
            <showPercent val="0"/>
            <showBubbleSize val="0"/>
            <showLeaderLines val="0"/>
          </dLbls>
          <trendline>
            <spPr>
              <a:ln w="19050" cap="rnd">
                <a:solidFill>
                  <a:schemeClr val="accent1"/>
                </a:solidFill>
                <a:prstDash val="sysDot"/>
              </a:ln>
            </spPr>
            <trendlineType val="linear"/>
            <dispRSqr val="0"/>
            <dispEq val="0"/>
          </trendline>
          <cat>
            <strRef>
              <f>'Balanza comercial'!$B$10:$B$34</f>
              <strCache>
                <ptCount val="25"/>
                <pt idx="0">
                  <v>May 24</v>
                </pt>
                <pt idx="1">
                  <v>Jun 24</v>
                </pt>
                <pt idx="2">
                  <v>Jul 24</v>
                </pt>
                <pt idx="3">
                  <v>Ago 24</v>
                </pt>
                <pt idx="4">
                  <v>Sep 24</v>
                </pt>
                <pt idx="5">
                  <v>Oct 24</v>
                </pt>
                <pt idx="6">
                  <v>Nov 24</v>
                </pt>
                <pt idx="7">
                  <v>Dic 24</v>
                </pt>
                <pt idx="8">
                  <v>Ene 25</v>
                </pt>
                <pt idx="9">
                  <v>Feb 25</v>
                </pt>
                <pt idx="10">
                  <v>Mar 25</v>
                </pt>
                <pt idx="11">
                  <v>Abr 25</v>
                </pt>
                <pt idx="12">
                  <v>May 25</v>
                </pt>
                <pt idx="13">
                  <v>Jun 25</v>
                </pt>
                <pt idx="14">
                  <v>Jul 25</v>
                </pt>
                <pt idx="15">
                  <v>Ago 25</v>
                </pt>
                <pt idx="16">
                  <v>Sep 25</v>
                </pt>
                <pt idx="17">
                  <v>Oct 25</v>
                </pt>
                <pt idx="18">
                  <v>Nov 25</v>
                </pt>
                <pt idx="19">
                  <v>Dic 25</v>
                </pt>
                <pt idx="20">
                  <v>Ene 26</v>
                </pt>
                <pt idx="21">
                  <v>Feb 26</v>
                </pt>
                <pt idx="22">
                  <v>Mar 26</v>
                </pt>
                <pt idx="23">
                  <v>Abr 26</v>
                </pt>
                <pt idx="24">
                  <v>May 26 O</v>
                </pt>
              </strCache>
            </strRef>
          </cat>
          <val>
            <numRef>
              <f>'Balanza comercial'!$C$10:$C$34</f>
              <numCache>
                <formatCode>_-"$"* #,##0_-;\-"$"* #,##0_-;_-"$"* "-"??_-;_-@_-</formatCode>
                <ptCount val="25"/>
                <pt idx="0">
                  <v>55754.041</v>
                </pt>
                <pt idx="1">
                  <v>48824.268</v>
                </pt>
                <pt idx="2">
                  <v>54550.711</v>
                </pt>
                <pt idx="3">
                  <v>51902.528</v>
                </pt>
                <pt idx="4">
                  <v>49629.743</v>
                </pt>
                <pt idx="5">
                  <v>57897.71</v>
                </pt>
                <pt idx="6">
                  <v>52264.794</v>
                </pt>
                <pt idx="7">
                  <v>51754.359</v>
                </pt>
                <pt idx="8">
                  <v>44398.267</v>
                </pt>
                <pt idx="9">
                  <v>49098.535</v>
                </pt>
                <pt idx="10">
                  <v>55404.972</v>
                </pt>
                <pt idx="11">
                  <v>54347.764</v>
                </pt>
                <pt idx="12">
                  <v>55476.735</v>
                </pt>
                <pt idx="13">
                  <v>54001.827</v>
                </pt>
                <pt idx="14">
                  <v>56707.774</v>
                </pt>
                <pt idx="15">
                  <v>55718.184</v>
                </pt>
                <pt idx="16">
                  <v>56487.938</v>
                </pt>
                <pt idx="17">
                  <v>66132.55100000001</v>
                </pt>
                <pt idx="18">
                  <v>56411.894</v>
                </pt>
                <pt idx="19">
                  <v>60650.727</v>
                </pt>
                <pt idx="20">
                  <v>48007.823</v>
                </pt>
                <pt idx="21">
                  <v>56851.119</v>
                </pt>
                <pt idx="22">
                  <v>70727.019</v>
                </pt>
                <pt idx="23">
                  <v>72041.829</v>
                </pt>
                <pt idx="24">
                  <v>69544.49099999999</v>
                </pt>
              </numCache>
            </numRef>
          </val>
        </ser>
        <ser>
          <idx val="1"/>
          <order val="1"/>
          <tx>
            <strRef>
              <f>'Balanza comercial'!$E$9</f>
              <strCache>
                <ptCount val="1"/>
                <pt idx="0">
                  <v>Importaciones</v>
                </pt>
              </strCache>
            </strRef>
          </tx>
          <spPr>
            <a:solidFill>
              <a:srgbClr val="1E5B4F"/>
            </a:solidFill>
            <a:ln>
              <a:noFill/>
              <a:prstDash val="solid"/>
            </a:ln>
          </spPr>
          <invertIfNegative val="0"/>
          <cat>
            <strRef>
              <f>'Balanza comercial'!$B$10:$B$34</f>
              <strCache>
                <ptCount val="25"/>
                <pt idx="0">
                  <v>May 24</v>
                </pt>
                <pt idx="1">
                  <v>Jun 24</v>
                </pt>
                <pt idx="2">
                  <v>Jul 24</v>
                </pt>
                <pt idx="3">
                  <v>Ago 24</v>
                </pt>
                <pt idx="4">
                  <v>Sep 24</v>
                </pt>
                <pt idx="5">
                  <v>Oct 24</v>
                </pt>
                <pt idx="6">
                  <v>Nov 24</v>
                </pt>
                <pt idx="7">
                  <v>Dic 24</v>
                </pt>
                <pt idx="8">
                  <v>Ene 25</v>
                </pt>
                <pt idx="9">
                  <v>Feb 25</v>
                </pt>
                <pt idx="10">
                  <v>Mar 25</v>
                </pt>
                <pt idx="11">
                  <v>Abr 25</v>
                </pt>
                <pt idx="12">
                  <v>May 25</v>
                </pt>
                <pt idx="13">
                  <v>Jun 25</v>
                </pt>
                <pt idx="14">
                  <v>Jul 25</v>
                </pt>
                <pt idx="15">
                  <v>Ago 25</v>
                </pt>
                <pt idx="16">
                  <v>Sep 25</v>
                </pt>
                <pt idx="17">
                  <v>Oct 25</v>
                </pt>
                <pt idx="18">
                  <v>Nov 25</v>
                </pt>
                <pt idx="19">
                  <v>Dic 25</v>
                </pt>
                <pt idx="20">
                  <v>Ene 26</v>
                </pt>
                <pt idx="21">
                  <v>Feb 26</v>
                </pt>
                <pt idx="22">
                  <v>Mar 26</v>
                </pt>
                <pt idx="23">
                  <v>Abr 26</v>
                </pt>
                <pt idx="24">
                  <v>May 26 O</v>
                </pt>
              </strCache>
            </strRef>
          </cat>
          <val>
            <numRef>
              <f>'Balanza comercial'!$E$10:$E$34</f>
              <numCache>
                <formatCode>_-"$"* #,##0_-;\-"$"* #,##0_-;_-"$"* "-"??_-;_-@_-</formatCode>
                <ptCount val="25"/>
                <pt idx="0">
                  <v>54863.065</v>
                </pt>
                <pt idx="1">
                  <v>51230.591</v>
                </pt>
                <pt idx="2">
                  <v>55771.222</v>
                </pt>
                <pt idx="3">
                  <v>57747.196</v>
                </pt>
                <pt idx="4">
                  <v>51120.789</v>
                </pt>
                <pt idx="5">
                  <v>58109.034</v>
                </pt>
                <pt idx="6">
                  <v>52971.031</v>
                </pt>
                <pt idx="7">
                  <v>49905.838</v>
                </pt>
                <pt idx="8">
                  <v>49611.476</v>
                </pt>
                <pt idx="9">
                  <v>47444.307</v>
                </pt>
                <pt idx="10">
                  <v>52115.201</v>
                </pt>
                <pt idx="11">
                  <v>54392.226</v>
                </pt>
                <pt idx="12">
                  <v>54244.911</v>
                </pt>
                <pt idx="13">
                  <v>53487.398</v>
                </pt>
                <pt idx="14">
                  <v>56724.468</v>
                </pt>
                <pt idx="15">
                  <v>57662.068</v>
                </pt>
                <pt idx="16">
                  <v>58887.475</v>
                </pt>
                <pt idx="17">
                  <v>65526.483</v>
                </pt>
                <pt idx="18">
                  <v>55749.102</v>
                </pt>
                <pt idx="19">
                  <v>58221.107</v>
                </pt>
                <pt idx="20">
                  <v>54488.877</v>
                </pt>
                <pt idx="21">
                  <v>57313.897</v>
                </pt>
                <pt idx="22">
                  <v>64795.021</v>
                </pt>
                <pt idx="23">
                  <v>67521.798</v>
                </pt>
                <pt idx="24">
                  <v>67285.323</v>
                </pt>
              </numCache>
            </numRef>
          </val>
        </ser>
        <dLbls>
          <showLegendKey val="0"/>
          <showVal val="0"/>
          <showCatName val="0"/>
          <showSerName val="0"/>
          <showPercent val="0"/>
          <showBubbleSize val="0"/>
        </dLbls>
        <gapWidth val="100"/>
        <overlap val="-27"/>
        <axId val="1259334848"/>
        <axId val="1259336096"/>
      </barChart>
      <catAx>
        <axId val="125933484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259336096"/>
        <crosses val="autoZero"/>
        <auto val="1"/>
        <lblAlgn val="ctr"/>
        <lblOffset val="100"/>
        <noMultiLvlLbl val="0"/>
      </catAx>
      <valAx>
        <axId val="1259336096"/>
        <scaling>
          <orientation val="minMax"/>
        </scaling>
        <delete val="0"/>
        <axPos val="l"/>
        <majorGridlines>
          <spPr>
            <a:ln w="9525" cap="flat" cmpd="sng" algn="ctr">
              <a:solidFill>
                <a:schemeClr val="tx1">
                  <a:lumMod val="15000"/>
                  <a:lumOff val="85000"/>
                </a:schemeClr>
              </a:solidFill>
              <a:prstDash val="solid"/>
              <a:round/>
            </a:ln>
          </spPr>
        </majorGridlines>
        <title>
          <tx>
            <rich>
              <a:bodyPr rot="-5400000" spcFirstLastPara="1" vertOverflow="ellipsis" vert="horz" wrap="square" anchor="ctr" anchorCtr="1"/>
              <a:lstStyle/>
              <a:p>
                <a:pPr>
                  <a:defRPr sz="10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a:t xml:space="preserve"> Millones</a:t>
                </a:r>
                <a:r>
                  <a:rPr lang="es-MX" baseline="0"/>
                  <a:t xml:space="preserve"> de dólares</a:t>
                </a:r>
                <a:endParaRPr lang="es-MX"/>
              </a:p>
            </rich>
          </tx>
          <layout/>
          <overlay val="0"/>
          <spPr>
            <a:noFill/>
            <a:ln>
              <a:noFill/>
              <a:prstDash val="solid"/>
            </a:ln>
          </spPr>
          <txPr>
            <a:bodyPr rot="-5400000" spcFirstLastPara="1" vertOverflow="ellipsis" vert="horz" wrap="square" anchor="ctr" anchorCtr="1"/>
            <a:lstStyle/>
            <a:p>
              <a:pPr>
                <a:defRPr sz="10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numFmt formatCode="_-&quot;$&quot;* #,##0_-;\-&quot;$&quot;* #,##0_-;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259334848"/>
        <crosses val="autoZero"/>
        <crossBetween val="between"/>
      </valAx>
    </plotArea>
    <legend>
      <legendPos val="t"/>
      <layou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7.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Consumo privado (base 100 = 2018)</a:t>
            </a:r>
          </a:p>
        </rich>
      </tx>
      <overlay val="0"/>
      <spPr>
        <a:noFill/>
        <a:ln>
          <a:noFill/>
          <a:prstDash val="solid"/>
        </a:ln>
      </spPr>
      <txPr>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areaChart>
        <grouping val="stacked"/>
        <varyColors val="0"/>
        <ser>
          <idx val="0"/>
          <order val="0"/>
          <tx>
            <strRef>
              <f>'Consumo Privado'!$C$9</f>
              <strCache>
                <ptCount val="1"/>
                <pt idx="0">
                  <v>Índice de volumen físico</v>
                </pt>
              </strCache>
            </strRef>
          </tx>
          <spPr>
            <a:pattFill prst="pct20">
              <a:fgClr>
                <a:srgbClr val="1E5B4F"/>
              </a:fgClr>
              <a:bgClr>
                <a:schemeClr val="bg1"/>
              </a:bgClr>
            </a:pattFill>
            <a:ln w="38100">
              <a:solidFill>
                <a:srgbClr val="1E5B4F"/>
              </a:solidFill>
              <a:prstDash val="solid"/>
            </a:ln>
          </spPr>
          <dLbls>
            <spPr>
              <a:noFill/>
              <a:ln>
                <a:noFill/>
                <a:prstDash val="solid"/>
              </a:ln>
            </spPr>
            <txPr>
              <a:bodyPr rot="0" spcFirstLastPara="1" vertOverflow="ellipsis" vert="horz" wrap="square" anchor="ctr" anchorCtr="1"/>
              <a:lstStyle/>
              <a:p>
                <a:pPr>
                  <a:defRPr sz="900" b="1"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showLegendKey val="0"/>
            <showVal val="1"/>
            <showCatName val="0"/>
            <showSerName val="0"/>
            <showPercent val="0"/>
            <showBubbleSize val="0"/>
            <showLeaderLines val="0"/>
          </dLbls>
          <cat>
            <strRef>
              <f>'Consumo Privado'!$B$10:$B$21</f>
              <strCache>
                <ptCount val="12"/>
                <pt idx="0">
                  <v>Abr 25 R</v>
                </pt>
                <pt idx="1">
                  <v>May 25 R</v>
                </pt>
                <pt idx="2">
                  <v>Jun 25 R</v>
                </pt>
                <pt idx="3">
                  <v>Jul 25 R</v>
                </pt>
                <pt idx="4">
                  <v>Ago 25 R</v>
                </pt>
                <pt idx="5">
                  <v>Sep 25 R</v>
                </pt>
                <pt idx="6">
                  <v>Oct 25 R</v>
                </pt>
                <pt idx="7">
                  <v>Nov 25 R</v>
                </pt>
                <pt idx="8">
                  <v>Dic 25 R</v>
                </pt>
                <pt idx="9">
                  <v>Ene 26 R</v>
                </pt>
                <pt idx="10">
                  <v>Feb 26 R</v>
                </pt>
                <pt idx="11">
                  <v>Mar 26 P</v>
                </pt>
              </strCache>
            </strRef>
          </cat>
          <val>
            <numRef>
              <f>'Consumo Privado'!$C$10:$C$21</f>
              <numCache>
                <formatCode>0.0</formatCode>
                <ptCount val="12"/>
                <pt idx="0">
                  <v>110.1915640022</v>
                </pt>
                <pt idx="1">
                  <v>112.1104060481</v>
                </pt>
                <pt idx="2">
                  <v>109.886652307</v>
                </pt>
                <pt idx="3">
                  <v>113.9981602839</v>
                </pt>
                <pt idx="4">
                  <v>114.2930377275</v>
                </pt>
                <pt idx="5">
                  <v>113.141670895</v>
                </pt>
                <pt idx="6">
                  <v>117.4042949687</v>
                </pt>
                <pt idx="7">
                  <v>113.8299222248</v>
                </pt>
                <pt idx="8">
                  <v>116.8438878273</v>
                </pt>
                <pt idx="9">
                  <v>110.519200852</v>
                </pt>
                <pt idx="10">
                  <v>104.4568568234</v>
                </pt>
                <pt idx="11">
                  <v>113.5132947678</v>
                </pt>
              </numCache>
            </numRef>
          </val>
        </ser>
        <dLbls>
          <showLegendKey val="0"/>
          <showVal val="0"/>
          <showCatName val="0"/>
          <showSerName val="0"/>
          <showPercent val="0"/>
          <showBubbleSize val="0"/>
        </dLbls>
        <axId val="10"/>
        <axId val="100"/>
      </areaChart>
      <lineChart>
        <grouping val="standard"/>
        <varyColors val="0"/>
        <ser>
          <idx val="1"/>
          <order val="1"/>
          <tx>
            <strRef>
              <f>'Consumo Privado'!$D$9</f>
              <strCache>
                <ptCount val="1"/>
                <pt idx="0">
                  <v>Var. mensual (%)</v>
                </pt>
              </strCache>
            </strRef>
          </tx>
          <spPr>
            <a:ln w="28575" cap="rnd">
              <a:solidFill>
                <a:srgbClr val="A6802D"/>
              </a:solidFill>
              <a:prstDash val="solid"/>
              <a:round/>
            </a:ln>
          </spPr>
          <marker>
            <symbol val="circle"/>
            <size val="5"/>
            <spPr>
              <a:solidFill>
                <a:srgbClr val="A6802D"/>
              </a:solidFill>
              <a:ln w="9525">
                <a:solidFill>
                  <a:srgbClr val="A6802D"/>
                </a:solidFill>
                <a:prstDash val="solid"/>
              </a:ln>
            </spPr>
          </marker>
          <dLbls>
            <dLbl>
              <idx val="1"/>
              <dLblPos val="l"/>
              <showLegendKey val="0"/>
              <showVal val="1"/>
              <showCatName val="0"/>
              <showSerName val="0"/>
              <showPercent val="0"/>
              <showBubbleSize val="0"/>
            </dLbl>
            <dLbl>
              <idx val="3"/>
              <dLblPos val="r"/>
              <showLegendKey val="0"/>
              <showVal val="1"/>
              <showCatName val="0"/>
              <showSerName val="0"/>
              <showPercent val="0"/>
              <showBubbleSize val="0"/>
            </dLbl>
            <dLbl>
              <idx val="6"/>
              <dLblPos val="t"/>
              <showLegendKey val="0"/>
              <showVal val="1"/>
              <showCatName val="0"/>
              <showSerName val="0"/>
              <showPercent val="0"/>
              <showBubbleSize val="0"/>
            </dLbl>
            <dLbl>
              <idx val="8"/>
              <dLblPos val="r"/>
              <showLegendKey val="0"/>
              <showVal val="1"/>
              <showCatName val="0"/>
              <showSerName val="0"/>
              <showPercent val="0"/>
              <showBubbleSize val="0"/>
            </dLbl>
            <dLbl>
              <idx val="11"/>
              <dLblPos val="t"/>
              <showLegendKey val="0"/>
              <showVal val="1"/>
              <showCatName val="0"/>
              <showSerName val="0"/>
              <showPercent val="0"/>
              <showBubbleSize val="0"/>
            </dLbl>
            <spPr>
              <a:noFill/>
              <a:ln>
                <a:noFill/>
                <a:prstDash val="solid"/>
              </a:ln>
            </spPr>
            <txPr>
              <a:bodyPr rot="0" spcFirstLastPara="1" vertOverflow="ellipsis" vert="horz" wrap="square" anchor="ctr" anchorCtr="1"/>
              <a:lstStyle/>
              <a:p>
                <a:pPr>
                  <a:defRPr sz="900" b="0" i="0" strike="noStrike" kern="1200" baseline="0">
                    <a:solidFill>
                      <a:srgbClr val="A6802D"/>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b"/>
            <showLegendKey val="0"/>
            <showVal val="1"/>
            <showCatName val="0"/>
            <showSerName val="0"/>
            <showPercent val="0"/>
            <showBubbleSize val="0"/>
            <showLeaderLines val="0"/>
          </dLbls>
          <cat>
            <strRef>
              <f>'Consumo Privado'!$B$10:$B$21</f>
              <strCache>
                <ptCount val="12"/>
                <pt idx="0">
                  <v>Abr 25 R</v>
                </pt>
                <pt idx="1">
                  <v>May 25 R</v>
                </pt>
                <pt idx="2">
                  <v>Jun 25 R</v>
                </pt>
                <pt idx="3">
                  <v>Jul 25 R</v>
                </pt>
                <pt idx="4">
                  <v>Ago 25 R</v>
                </pt>
                <pt idx="5">
                  <v>Sep 25 R</v>
                </pt>
                <pt idx="6">
                  <v>Oct 25 R</v>
                </pt>
                <pt idx="7">
                  <v>Nov 25 R</v>
                </pt>
                <pt idx="8">
                  <v>Dic 25 R</v>
                </pt>
                <pt idx="9">
                  <v>Ene 26 R</v>
                </pt>
                <pt idx="10">
                  <v>Feb 26 R</v>
                </pt>
                <pt idx="11">
                  <v>Mar 26 P</v>
                </pt>
              </strCache>
            </strRef>
          </cat>
          <val>
            <numRef>
              <f>'Consumo Privado'!$D$10:$D$21</f>
              <numCache>
                <formatCode>0.00%</formatCode>
                <ptCount val="12"/>
                <pt idx="1">
                  <v>0.01741369281101868</v>
                </pt>
                <pt idx="2">
                  <v>-0.01983539101754672</v>
                </pt>
                <pt idx="3">
                  <v>0.03741589984389848</v>
                </pt>
                <pt idx="4">
                  <v>0.002586685985682902</v>
                </pt>
                <pt idx="5">
                  <v>-0.01007381425319287</v>
                </pt>
                <pt idx="6">
                  <v>0.03767510272723373</v>
                </pt>
                <pt idx="7">
                  <v>-0.03044499134254774</v>
                </pt>
                <pt idx="8">
                  <v>0.02647779725745392</v>
                </pt>
                <pt idx="9">
                  <v>-0.05412937803514495</v>
                </pt>
                <pt idx="10">
                  <v>-0.05485331039190455</v>
                </pt>
                <pt idx="11">
                  <v>0.0867002724360284</v>
                </pt>
              </numCache>
            </numRef>
          </val>
          <smooth val="0"/>
        </ser>
        <dLbls>
          <showLegendKey val="0"/>
          <showVal val="0"/>
          <showCatName val="0"/>
          <showSerName val="0"/>
          <showPercent val="0"/>
          <showBubbleSize val="0"/>
        </dLbls>
        <marker val="1"/>
        <smooth val="0"/>
        <axId val="964156928"/>
        <axId val="969319488"/>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catAx>
        <axId val="964156928"/>
        <scaling>
          <orientation val="minMax"/>
        </scaling>
        <delete val="1"/>
        <axPos val="b"/>
        <numFmt formatCode="General" sourceLinked="1"/>
        <majorTickMark val="out"/>
        <minorTickMark val="none"/>
        <tickLblPos val="nextTo"/>
        <crossAx val="969319488"/>
        <crosses val="autoZero"/>
        <auto val="1"/>
        <lblAlgn val="ctr"/>
        <lblOffset val="100"/>
        <noMultiLvlLbl val="0"/>
      </catAx>
      <valAx>
        <axId val="969319488"/>
        <scaling>
          <orientation val="minMax"/>
        </scaling>
        <delete val="0"/>
        <axPos val="r"/>
        <numFmt formatCode="0.00%" sourceLinked="1"/>
        <majorTickMark val="out"/>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964156928"/>
        <crosses val="max"/>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8.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Flujos trimestrales de IED por tipo</a:t>
            </a:r>
            <a:r>
              <a:rPr lang="es-MX" sz="1600" b="1" baseline="0"/>
              <a:t xml:space="preserve"> de inversión</a:t>
            </a:r>
            <a:endParaRPr lang="es-MX" sz="1600" b="1"/>
          </a:p>
        </rich>
      </tx>
      <overlay val="0"/>
      <spPr>
        <a:noFill/>
        <a:ln>
          <a:noFill/>
          <a:prstDash val="solid"/>
        </a:ln>
      </spPr>
      <txPr>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barChart>
        <barDir val="col"/>
        <grouping val="stacked"/>
        <varyColors val="0"/>
        <ser>
          <idx val="1"/>
          <order val="0"/>
          <tx>
            <strRef>
              <f>IED!$D$9</f>
              <strCache>
                <ptCount val="1"/>
                <pt idx="0">
                  <v>Nuevas  Inversiones</v>
                </pt>
              </strCache>
            </strRef>
          </tx>
          <spPr>
            <a:solidFill>
              <a:srgbClr val="002F2A"/>
            </a:solidFill>
            <a:ln>
              <a:noFill/>
              <a:prstDash val="solid"/>
            </a:ln>
          </spPr>
          <invertIfNegative val="0"/>
          <cat>
            <strRef>
              <f>IED!$B$10:$B$30</f>
              <strCache>
                <ptCount val="21"/>
                <pt idx="0">
                  <v>1T-21</v>
                </pt>
                <pt idx="1">
                  <v>2T-21</v>
                </pt>
                <pt idx="2">
                  <v>3T-21</v>
                </pt>
                <pt idx="3">
                  <v>4T-21</v>
                </pt>
                <pt idx="4">
                  <v>1T-22</v>
                </pt>
                <pt idx="5">
                  <v>2T-22</v>
                </pt>
                <pt idx="6">
                  <v>3T-22</v>
                </pt>
                <pt idx="7">
                  <v>4T-22</v>
                </pt>
                <pt idx="8">
                  <v>1T-23</v>
                </pt>
                <pt idx="9">
                  <v>2T-23</v>
                </pt>
                <pt idx="10">
                  <v>3T-23</v>
                </pt>
                <pt idx="11">
                  <v>4T-23</v>
                </pt>
                <pt idx="12">
                  <v>1T-24</v>
                </pt>
                <pt idx="13">
                  <v>2T-24</v>
                </pt>
                <pt idx="14">
                  <v>3T-24</v>
                </pt>
                <pt idx="15">
                  <v>4T-24</v>
                </pt>
                <pt idx="16">
                  <v>1T-25</v>
                </pt>
                <pt idx="17">
                  <v>2T-25</v>
                </pt>
                <pt idx="18">
                  <v>3T-25</v>
                </pt>
                <pt idx="19">
                  <v>4T-25</v>
                </pt>
                <pt idx="20">
                  <v>1T-26</v>
                </pt>
              </strCache>
            </strRef>
          </cat>
          <val>
            <numRef>
              <f>IED!$D$10:$D$30</f>
              <numCache>
                <formatCode>_-"$"* #,##0_-;\-"$"* #,##0_-;_-"$"* "-"??_-;_-@_-</formatCode>
                <ptCount val="21"/>
                <pt idx="0">
                  <v>2209.41801316</v>
                </pt>
                <pt idx="1">
                  <v>6025.000693990005</v>
                </pt>
                <pt idx="2">
                  <v>9544.62750515</v>
                </pt>
                <pt idx="3">
                  <v>13825.30166943996</v>
                </pt>
                <pt idx="4">
                  <v>8792.209679979997</v>
                </pt>
                <pt idx="5">
                  <v>11836.52779014</v>
                </pt>
                <pt idx="6">
                  <v>14519.88582904002</v>
                </pt>
                <pt idx="7">
                  <v>16993.09777798016</v>
                </pt>
                <pt idx="8">
                  <v>931.6891732793321</v>
                </pt>
                <pt idx="9">
                  <v>2135.168038952664</v>
                </pt>
                <pt idx="10">
                  <v>2806.241495010777</v>
                </pt>
                <pt idx="11">
                  <v>4817.437436025721</v>
                </pt>
                <pt idx="12">
                  <v>599.3244456864041</v>
                </pt>
                <pt idx="13">
                  <v>909.3070721249387</v>
                </pt>
                <pt idx="14">
                  <v>2060.368951658199</v>
                </pt>
                <pt idx="15">
                  <v>3168.543654846584</v>
                </pt>
                <pt idx="16">
                  <v>1586.396284871034</v>
                </pt>
                <pt idx="17">
                  <v>3148.538441297729</v>
                </pt>
                <pt idx="18">
                  <v>6563.38012553143</v>
                </pt>
                <pt idx="19">
                  <v>7377.426584413343</v>
                </pt>
                <pt idx="20">
                  <v>1705.227100742525</v>
                </pt>
              </numCache>
            </numRef>
          </val>
        </ser>
        <ser>
          <idx val="2"/>
          <order val="1"/>
          <tx>
            <strRef>
              <f>IED!$E$9</f>
              <strCache>
                <ptCount val="1"/>
                <pt idx="0">
                  <v xml:space="preserve">Reinversión de utilidades </v>
                </pt>
              </strCache>
            </strRef>
          </tx>
          <spPr>
            <a:solidFill>
              <a:srgbClr val="1E5B4F"/>
            </a:solidFill>
            <a:ln>
              <a:noFill/>
              <a:prstDash val="solid"/>
            </a:ln>
          </spPr>
          <invertIfNegative val="0"/>
          <cat>
            <strRef>
              <f>IED!$B$10:$B$30</f>
              <strCache>
                <ptCount val="21"/>
                <pt idx="0">
                  <v>1T-21</v>
                </pt>
                <pt idx="1">
                  <v>2T-21</v>
                </pt>
                <pt idx="2">
                  <v>3T-21</v>
                </pt>
                <pt idx="3">
                  <v>4T-21</v>
                </pt>
                <pt idx="4">
                  <v>1T-22</v>
                </pt>
                <pt idx="5">
                  <v>2T-22</v>
                </pt>
                <pt idx="6">
                  <v>3T-22</v>
                </pt>
                <pt idx="7">
                  <v>4T-22</v>
                </pt>
                <pt idx="8">
                  <v>1T-23</v>
                </pt>
                <pt idx="9">
                  <v>2T-23</v>
                </pt>
                <pt idx="10">
                  <v>3T-23</v>
                </pt>
                <pt idx="11">
                  <v>4T-23</v>
                </pt>
                <pt idx="12">
                  <v>1T-24</v>
                </pt>
                <pt idx="13">
                  <v>2T-24</v>
                </pt>
                <pt idx="14">
                  <v>3T-24</v>
                </pt>
                <pt idx="15">
                  <v>4T-24</v>
                </pt>
                <pt idx="16">
                  <v>1T-25</v>
                </pt>
                <pt idx="17">
                  <v>2T-25</v>
                </pt>
                <pt idx="18">
                  <v>3T-25</v>
                </pt>
                <pt idx="19">
                  <v>4T-25</v>
                </pt>
                <pt idx="20">
                  <v>1T-26</v>
                </pt>
              </strCache>
            </strRef>
          </cat>
          <val>
            <numRef>
              <f>IED!$E$10:$E$30</f>
              <numCache>
                <formatCode>_-"$"* #,##0_-;\-"$"* #,##0_-;_-"$"* "-"??_-;_-@_-</formatCode>
                <ptCount val="21"/>
                <pt idx="0">
                  <v>7025.211256549997</v>
                </pt>
                <pt idx="1">
                  <v>8658.214019469988</v>
                </pt>
                <pt idx="2">
                  <v>9999.422711059975</v>
                </pt>
                <pt idx="3">
                  <v>12213.01206093998</v>
                </pt>
                <pt idx="4">
                  <v>9259.124450750005</v>
                </pt>
                <pt idx="5">
                  <v>11655.60546753999</v>
                </pt>
                <pt idx="6">
                  <v>14052.15139102999</v>
                </pt>
                <pt idx="7">
                  <v>16027.79041017376</v>
                </pt>
                <pt idx="8">
                  <v>16704.7085712238</v>
                </pt>
                <pt idx="9">
                  <v>22608.62151171782</v>
                </pt>
                <pt idx="10">
                  <v>24905.19143529355</v>
                </pt>
                <pt idx="11">
                  <v>26630.61271059473</v>
                </pt>
                <pt idx="12">
                  <v>19614.77618673003</v>
                </pt>
                <pt idx="13">
                  <v>30287.60301161498</v>
                </pt>
                <pt idx="14">
                  <v>30744.83932329829</v>
                </pt>
                <pt idx="15">
                  <v>28710.3148665372</v>
                </pt>
                <pt idx="16">
                  <v>16646.99308879533</v>
                </pt>
                <pt idx="17">
                  <v>28914.10863011177</v>
                </pt>
                <pt idx="18">
                  <v>27748.84216433168</v>
                </pt>
                <pt idx="19">
                  <v>27649.33990823308</v>
                </pt>
                <pt idx="20">
                  <v>22221.50597185501</v>
                </pt>
              </numCache>
            </numRef>
          </val>
        </ser>
        <ser>
          <idx val="3"/>
          <order val="2"/>
          <tx>
            <strRef>
              <f>IED!$F$9</f>
              <strCache>
                <ptCount val="1"/>
                <pt idx="0">
                  <v>Cuentas entre compañías</v>
                </pt>
              </strCache>
            </strRef>
          </tx>
          <spPr>
            <a:solidFill>
              <a:srgbClr val="9C2348"/>
            </a:solidFill>
            <a:ln>
              <a:noFill/>
              <a:prstDash val="solid"/>
            </a:ln>
          </spPr>
          <invertIfNegative val="0"/>
          <cat>
            <strRef>
              <f>IED!$B$10:$B$30</f>
              <strCache>
                <ptCount val="21"/>
                <pt idx="0">
                  <v>1T-21</v>
                </pt>
                <pt idx="1">
                  <v>2T-21</v>
                </pt>
                <pt idx="2">
                  <v>3T-21</v>
                </pt>
                <pt idx="3">
                  <v>4T-21</v>
                </pt>
                <pt idx="4">
                  <v>1T-22</v>
                </pt>
                <pt idx="5">
                  <v>2T-22</v>
                </pt>
                <pt idx="6">
                  <v>3T-22</v>
                </pt>
                <pt idx="7">
                  <v>4T-22</v>
                </pt>
                <pt idx="8">
                  <v>1T-23</v>
                </pt>
                <pt idx="9">
                  <v>2T-23</v>
                </pt>
                <pt idx="10">
                  <v>3T-23</v>
                </pt>
                <pt idx="11">
                  <v>4T-23</v>
                </pt>
                <pt idx="12">
                  <v>1T-24</v>
                </pt>
                <pt idx="13">
                  <v>2T-24</v>
                </pt>
                <pt idx="14">
                  <v>3T-24</v>
                </pt>
                <pt idx="15">
                  <v>4T-24</v>
                </pt>
                <pt idx="16">
                  <v>1T-25</v>
                </pt>
                <pt idx="17">
                  <v>2T-25</v>
                </pt>
                <pt idx="18">
                  <v>3T-25</v>
                </pt>
                <pt idx="19">
                  <v>4T-25</v>
                </pt>
                <pt idx="20">
                  <v>1T-26</v>
                </pt>
              </strCache>
            </strRef>
          </cat>
          <val>
            <numRef>
              <f>IED!$F$10:$F$30</f>
              <numCache>
                <formatCode>_-"$"* #,##0_-;\-"$"* #,##0_-;_-"$"* "-"??_-;_-@_-</formatCode>
                <ptCount val="21"/>
                <pt idx="0">
                  <v>2629.401193109997</v>
                </pt>
                <pt idx="1">
                  <v>3750.254829099993</v>
                </pt>
                <pt idx="2">
                  <v>5287.674054709976</v>
                </pt>
                <pt idx="3">
                  <v>5582.890620490009</v>
                </pt>
                <pt idx="4">
                  <v>1376.123655999997</v>
                </pt>
                <pt idx="5">
                  <v>4019.490475149998</v>
                </pt>
                <pt idx="6">
                  <v>3575.351644790012</v>
                </pt>
                <pt idx="7">
                  <v>2270.730168346636</v>
                </pt>
                <pt idx="8">
                  <v>999.2940460586948</v>
                </pt>
                <pt idx="9">
                  <v>4297.034323920598</v>
                </pt>
                <pt idx="10">
                  <v>5215.003869953881</v>
                </pt>
                <pt idx="11">
                  <v>4609.993629060474</v>
                </pt>
                <pt idx="12">
                  <v>98.5581183642047</v>
                </pt>
                <pt idx="13">
                  <v>-100.5849741683989</v>
                </pt>
                <pt idx="14">
                  <v>2932.281265655119</v>
                </pt>
                <pt idx="15">
                  <v>4993.563429775793</v>
                </pt>
                <pt idx="16">
                  <v>3139.80373183581</v>
                </pt>
                <pt idx="17">
                  <v>2201.920391556331</v>
                </pt>
                <pt idx="18">
                  <v>6593.391426507059</v>
                </pt>
                <pt idx="19">
                  <v>5844.002835387397</v>
                </pt>
                <pt idx="20">
                  <v>-336.1110270523728</v>
                </pt>
              </numCache>
            </numRef>
          </val>
        </ser>
        <dLbls>
          <showLegendKey val="0"/>
          <showVal val="0"/>
          <showCatName val="0"/>
          <showSerName val="0"/>
          <showPercent val="0"/>
          <showBubbleSize val="0"/>
        </dLbls>
        <gapWidth val="100"/>
        <overlap val="100"/>
        <axId val="969095360"/>
        <axId val="969096192"/>
      </barChart>
      <lineChart>
        <grouping val="standard"/>
        <varyColors val="0"/>
        <ser>
          <idx val="4"/>
          <order val="4"/>
          <tx>
            <strRef>
              <f>IED!$C$9</f>
              <strCache>
                <ptCount val="1"/>
                <pt idx="0">
                  <v>IED total</v>
                </pt>
              </strCache>
            </strRef>
          </tx>
          <spPr>
            <a:ln w="28575" cap="rnd">
              <a:solidFill>
                <a:srgbClr val="A6802D"/>
              </a:solidFill>
              <a:prstDash val="solid"/>
              <a:round/>
            </a:ln>
          </spPr>
          <marker>
            <symbol val="circle"/>
            <size val="5"/>
            <spPr>
              <a:solidFill>
                <a:srgbClr val="A6802D"/>
              </a:solidFill>
              <a:ln w="9525">
                <a:solidFill>
                  <a:srgbClr val="A6802D"/>
                </a:solidFill>
                <a:prstDash val="solid"/>
              </a:ln>
            </spPr>
          </marker>
          <dLbls>
            <dLbl>
              <idx val="18"/>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IED!$B$10:$B$30</f>
              <strCache>
                <ptCount val="21"/>
                <pt idx="0">
                  <v>1T-21</v>
                </pt>
                <pt idx="1">
                  <v>2T-21</v>
                </pt>
                <pt idx="2">
                  <v>3T-21</v>
                </pt>
                <pt idx="3">
                  <v>4T-21</v>
                </pt>
                <pt idx="4">
                  <v>1T-22</v>
                </pt>
                <pt idx="5">
                  <v>2T-22</v>
                </pt>
                <pt idx="6">
                  <v>3T-22</v>
                </pt>
                <pt idx="7">
                  <v>4T-22</v>
                </pt>
                <pt idx="8">
                  <v>1T-23</v>
                </pt>
                <pt idx="9">
                  <v>2T-23</v>
                </pt>
                <pt idx="10">
                  <v>3T-23</v>
                </pt>
                <pt idx="11">
                  <v>4T-23</v>
                </pt>
                <pt idx="12">
                  <v>1T-24</v>
                </pt>
                <pt idx="13">
                  <v>2T-24</v>
                </pt>
                <pt idx="14">
                  <v>3T-24</v>
                </pt>
                <pt idx="15">
                  <v>4T-24</v>
                </pt>
                <pt idx="16">
                  <v>1T-25</v>
                </pt>
                <pt idx="17">
                  <v>2T-25</v>
                </pt>
                <pt idx="18">
                  <v>3T-25</v>
                </pt>
                <pt idx="19">
                  <v>4T-25</v>
                </pt>
                <pt idx="20">
                  <v>1T-26</v>
                </pt>
              </strCache>
            </strRef>
          </cat>
          <val>
            <numRef>
              <f>IED!$C$10:$C$30</f>
              <numCache>
                <formatCode>_-"$"* #,##0_-;\-"$"* #,##0_-;_-"$"* "-"??_-;_-@_-</formatCode>
                <ptCount val="21"/>
                <pt idx="0">
                  <v>11864.03046282</v>
                </pt>
                <pt idx="1">
                  <v>18433.46954255985</v>
                </pt>
                <pt idx="2">
                  <v>24831.72427092007</v>
                </pt>
                <pt idx="3">
                  <v>31621.20435087015</v>
                </pt>
                <pt idx="4">
                  <v>19427.45778673005</v>
                </pt>
                <pt idx="5">
                  <v>27511.62373282995</v>
                </pt>
                <pt idx="6">
                  <v>32147.38886485986</v>
                </pt>
                <pt idx="7">
                  <v>35291.61835650035</v>
                </pt>
                <pt idx="8">
                  <v>18635.69179056182</v>
                </pt>
                <pt idx="9">
                  <v>29040.8238745911</v>
                </pt>
                <pt idx="10">
                  <v>32926.43680025823</v>
                </pt>
                <pt idx="11">
                  <v>36058.04377568115</v>
                </pt>
                <pt idx="12">
                  <v>20312.65875078067</v>
                </pt>
                <pt idx="13">
                  <v>31096.32510957158</v>
                </pt>
                <pt idx="14">
                  <v>35737.48954061164</v>
                </pt>
                <pt idx="15">
                  <v>36872.42195115965</v>
                </pt>
                <pt idx="16">
                  <v>21373.19310550217</v>
                </pt>
                <pt idx="17">
                  <v>34264.56746296593</v>
                </pt>
                <pt idx="18">
                  <v>40905.61371637016</v>
                </pt>
                <pt idx="19">
                  <v>40870.76932803365</v>
                </pt>
                <pt idx="20">
                  <v>23590.62204554513</v>
                </pt>
              </numCache>
            </numRef>
          </val>
          <smooth val="0"/>
        </ser>
        <dLbls>
          <showLegendKey val="0"/>
          <showVal val="0"/>
          <showCatName val="0"/>
          <showSerName val="0"/>
          <showPercent val="0"/>
          <showBubbleSize val="0"/>
        </dLbls>
        <marker val="1"/>
        <smooth val="0"/>
        <axId val="969095360"/>
        <axId val="969096192"/>
      </lineChart>
      <catAx>
        <axId val="969095360"/>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969096192"/>
        <crosses val="autoZero"/>
        <auto val="1"/>
        <lblAlgn val="ctr"/>
        <lblOffset val="100"/>
        <noMultiLvlLbl val="0"/>
      </catAx>
      <valAx>
        <axId val="969096192"/>
        <scaling>
          <orientation val="minMax"/>
        </scaling>
        <delete val="0"/>
        <axPos val="l"/>
        <majorGridlines>
          <spPr>
            <a:ln w="9525" cap="flat" cmpd="sng" algn="ctr">
              <a:solidFill>
                <a:schemeClr val="tx1">
                  <a:lumMod val="15000"/>
                  <a:lumOff val="85000"/>
                </a:schemeClr>
              </a:solidFill>
              <a:prstDash val="solid"/>
              <a:round/>
            </a:ln>
          </spPr>
        </majorGridlines>
        <numFmt formatCode="_-&quot;$&quot;* #,##0_-;\-&quot;$&quot;* #,##0_-;_-&quot;$&quot;* &quot;-&quot;??_-;_-@_-" sourceLinked="1"/>
        <majorTickMark val="none"/>
        <minorTickMark val="none"/>
        <tickLblPos val="nextTo"/>
        <spPr>
          <a:noFill/>
          <a:ln>
            <a:no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969095360"/>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9.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Tasa de desocupación nacional, cifras desestacionalizadas</a:t>
            </a:r>
          </a:p>
        </rich>
      </tx>
      <overlay val="0"/>
      <spPr>
        <a:noFill/>
        <a:ln>
          <a:noFill/>
          <a:prstDash val="solid"/>
        </a:ln>
      </spPr>
      <txPr>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lineChart>
        <grouping val="standard"/>
        <varyColors val="0"/>
        <ser>
          <idx val="0"/>
          <order val="0"/>
          <tx>
            <strRef>
              <f>'Tasa de desocupación'!$C$9</f>
              <strCache>
                <ptCount val="1"/>
                <pt idx="0">
                  <v>Tasa</v>
                </pt>
              </strCache>
            </strRef>
          </tx>
          <spPr>
            <a:ln w="28575" cap="rnd">
              <a:solidFill>
                <a:srgbClr val="1E5B4F"/>
              </a:solidFill>
              <a:prstDash val="solid"/>
              <a:round/>
            </a:ln>
          </spPr>
          <marker>
            <symbol val="circle"/>
            <size val="5"/>
            <spPr>
              <a:solidFill>
                <a:srgbClr val="1E5B4F"/>
              </a:solidFill>
              <a:ln w="9525">
                <a:solidFill>
                  <a:srgbClr val="1E5B4F"/>
                </a:solidFill>
                <a:prstDash val="solid"/>
              </a:ln>
            </spPr>
          </marker>
          <dLbls>
            <dLbl>
              <idx val="1"/>
              <dLblPos val="b"/>
              <showLegendKey val="0"/>
              <showVal val="1"/>
              <showCatName val="0"/>
              <showSerName val="0"/>
              <showPercent val="0"/>
              <showBubbleSize val="0"/>
            </dLbl>
            <dLbl>
              <idx val="4"/>
              <dLblPos val="b"/>
              <showLegendKey val="0"/>
              <showVal val="1"/>
              <showCatName val="0"/>
              <showSerName val="0"/>
              <showPercent val="0"/>
              <showBubbleSize val="0"/>
            </dLbl>
            <dLbl>
              <idx val="6"/>
              <dLblPos val="b"/>
              <showLegendKey val="0"/>
              <showVal val="1"/>
              <showCatName val="0"/>
              <showSerName val="0"/>
              <showPercent val="0"/>
              <showBubbleSize val="0"/>
            </dLbl>
            <dLbl>
              <idx val="7"/>
              <dLblPos val="b"/>
              <showLegendKey val="0"/>
              <showVal val="1"/>
              <showCatName val="0"/>
              <showSerName val="0"/>
              <showPercent val="0"/>
              <showBubbleSize val="0"/>
            </dLbl>
            <dLbl>
              <idx val="9"/>
              <spPr>
                <a:noFill/>
                <a:ln>
                  <a:noFill/>
                  <a:prstDash val="solid"/>
                </a:ln>
              </spPr>
              <txPr>
                <a:bodyPr rot="0" spcFirstLastPara="1" vertOverflow="ellipsis" vert="horz" wrap="square" anchor="ctr" anchorCtr="1"/>
                <a:lstStyle/>
                <a:p>
                  <a:pPr>
                    <a:defRPr sz="900" b="1"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dLbl>
            <dLbl>
              <idx val="10"/>
              <dLblPos val="b"/>
              <showLegendKey val="0"/>
              <showVal val="1"/>
              <showCatName val="0"/>
              <showSerName val="0"/>
              <showPercent val="0"/>
              <showBubbleSize val="0"/>
            </dLbl>
            <spPr>
              <a:noFill/>
              <a:ln>
                <a:noFill/>
                <a:prstDash val="solid"/>
              </a:ln>
            </spPr>
            <txPr>
              <a:bodyPr rot="0" spcFirstLastPara="1" vertOverflow="ellipsis" vert="horz" wrap="square" anchor="ctr" anchorCtr="1"/>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'Tasa de desocupación'!$B$10:$B$21</f>
              <strCache>
                <ptCount val="12"/>
                <pt idx="0">
                  <v>Jun 25</v>
                </pt>
                <pt idx="1">
                  <v>Jul 25</v>
                </pt>
                <pt idx="2">
                  <v>Ago 25</v>
                </pt>
                <pt idx="3">
                  <v>Sep 25</v>
                </pt>
                <pt idx="4">
                  <v>Oct 25</v>
                </pt>
                <pt idx="5">
                  <v>Nov 25</v>
                </pt>
                <pt idx="6">
                  <v>Dic 25</v>
                </pt>
                <pt idx="7">
                  <v>Ene 26</v>
                </pt>
                <pt idx="8">
                  <v>Feb 26</v>
                </pt>
                <pt idx="9">
                  <v>Mar 26</v>
                </pt>
                <pt idx="10">
                  <v>Abr 26</v>
                </pt>
                <pt idx="11">
                  <v>May 26</v>
                </pt>
              </strCache>
            </strRef>
          </cat>
          <val>
            <numRef>
              <f>'Tasa de desocupación'!$C$10:$C$21</f>
              <numCache>
                <formatCode>0.0%</formatCode>
                <ptCount val="12"/>
                <pt idx="0">
                  <v>0.026</v>
                </pt>
                <pt idx="1">
                  <v>0.026</v>
                </pt>
                <pt idx="2">
                  <v>0.027</v>
                </pt>
                <pt idx="3">
                  <v>0.027</v>
                </pt>
                <pt idx="4">
                  <v>0.026</v>
                </pt>
                <pt idx="5">
                  <v>0.027</v>
                </pt>
                <pt idx="6">
                  <v>0.026</v>
                </pt>
                <pt idx="7">
                  <v>0.026</v>
                </pt>
                <pt idx="8">
                  <v>0.027</v>
                </pt>
                <pt idx="9">
                  <v>0.028</v>
                </pt>
                <pt idx="10">
                  <v>0.026</v>
                </pt>
                <pt idx="11">
                  <v>0.027</v>
                </pt>
              </numCache>
            </numRef>
          </val>
          <smooth val="0"/>
        </ser>
        <dLbls>
          <showLegendKey val="0"/>
          <showVal val="0"/>
          <showCatName val="0"/>
          <showSerName val="0"/>
          <showPercent val="0"/>
          <showBubbleSize val="0"/>
        </dLbls>
        <marker val="1"/>
        <smooth val="0"/>
        <axId val="1773021103"/>
        <axId val="1773017775"/>
      </lineChart>
      <lineChart>
        <grouping val="standard"/>
        <varyColors val="0"/>
        <ser>
          <idx val="1"/>
          <order val="1"/>
          <tx>
            <strRef>
              <f>'Tasa de desocupación'!$D$9</f>
              <strCache>
                <ptCount val="1"/>
                <pt idx="0">
                  <v>OCDE</v>
                </pt>
              </strCache>
            </strRef>
          </tx>
          <spPr>
            <a:ln w="28575" cap="rnd">
              <a:solidFill>
                <a:srgbClr val="0070C0"/>
              </a:solidFill>
              <a:prstDash val="solid"/>
              <a:round/>
            </a:ln>
          </spPr>
          <marker>
            <symbol val="none"/>
            <spPr>
              <a:ln>
                <a:prstDash val="solid"/>
              </a:ln>
            </spPr>
          </marker>
          <dLbls>
            <dLbl>
              <idx val="0"/>
              <dLblPos val="t"/>
              <showLegendKey val="0"/>
              <showVal val="1"/>
              <showCatName val="0"/>
              <showSerName val="0"/>
              <showPercent val="0"/>
              <showBubbleSize val="0"/>
            </dLbl>
            <dLbl>
              <idx val="11"/>
              <dLblPos val="t"/>
              <showLegendKey val="0"/>
              <showVal val="1"/>
              <showCatName val="0"/>
              <showSerName val="0"/>
              <showPercent val="0"/>
              <showBubbleSize val="0"/>
            </dLbl>
            <spPr>
              <a:noFill/>
              <a:ln>
                <a:noFill/>
                <a:prstDash val="solid"/>
              </a:ln>
            </spPr>
            <txPr>
              <a:bodyPr rot="0" spcFirstLastPara="1" vertOverflow="ellipsis" vert="horz" wrap="square" anchor="ctr" anchorCtr="1"/>
              <a:lstStyle/>
              <a:p>
                <a:pPr>
                  <a:defRPr sz="900" b="0"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0"/>
            <showCatName val="0"/>
            <showSerName val="0"/>
            <showPercent val="0"/>
            <showBubbleSize val="0"/>
          </dLbls>
          <cat>
            <strRef>
              <f>'Tasa de desocupación'!$B$10:$B$21</f>
              <strCache>
                <ptCount val="12"/>
                <pt idx="0">
                  <v>Jun 25</v>
                </pt>
                <pt idx="1">
                  <v>Jul 25</v>
                </pt>
                <pt idx="2">
                  <v>Ago 25</v>
                </pt>
                <pt idx="3">
                  <v>Sep 25</v>
                </pt>
                <pt idx="4">
                  <v>Oct 25</v>
                </pt>
                <pt idx="5">
                  <v>Nov 25</v>
                </pt>
                <pt idx="6">
                  <v>Dic 25</v>
                </pt>
                <pt idx="7">
                  <v>Ene 26</v>
                </pt>
                <pt idx="8">
                  <v>Feb 26</v>
                </pt>
                <pt idx="9">
                  <v>Mar 26</v>
                </pt>
                <pt idx="10">
                  <v>Abr 26</v>
                </pt>
                <pt idx="11">
                  <v>May 26</v>
                </pt>
              </strCache>
            </strRef>
          </cat>
          <val>
            <numRef>
              <f>'Tasa de desocupación'!$D$10:$D$21</f>
              <numCache>
                <formatCode>0.0%</formatCode>
                <ptCount val="12"/>
                <pt idx="0">
                  <v>0.049</v>
                </pt>
                <pt idx="1">
                  <v>0.049</v>
                </pt>
                <pt idx="2">
                  <v>0.049</v>
                </pt>
                <pt idx="3">
                  <v>0.049</v>
                </pt>
                <pt idx="4">
                  <v>0.049</v>
                </pt>
                <pt idx="5">
                  <v>0.049</v>
                </pt>
                <pt idx="6">
                  <v>0.049</v>
                </pt>
                <pt idx="7">
                  <v>0.049</v>
                </pt>
                <pt idx="8">
                  <v>0.049</v>
                </pt>
                <pt idx="9">
                  <v>0.049</v>
                </pt>
                <pt idx="10">
                  <v>0.049</v>
                </pt>
                <pt idx="11">
                  <v>0.049</v>
                </pt>
              </numCache>
            </numRef>
          </val>
          <smooth val="0"/>
        </ser>
        <dLbls>
          <showLegendKey val="0"/>
          <showVal val="0"/>
          <showCatName val="0"/>
          <showSerName val="0"/>
          <showPercent val="0"/>
          <showBubbleSize val="0"/>
        </dLbls>
        <marker val="1"/>
        <smooth val="0"/>
        <axId val="1773030671"/>
        <axId val="1773015695"/>
      </lineChart>
      <catAx>
        <axId val="1773021103"/>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773017775"/>
        <crosses val="autoZero"/>
        <auto val="1"/>
        <lblAlgn val="ctr"/>
        <lblOffset val="100"/>
        <noMultiLvlLbl val="0"/>
      </catAx>
      <valAx>
        <axId val="1773017775"/>
        <scaling>
          <orientation val="minMax"/>
          <max val="0.029"/>
        </scaling>
        <delete val="0"/>
        <axPos val="l"/>
        <majorGridlines>
          <spPr>
            <a:ln w="9525" cap="flat" cmpd="sng" algn="ctr">
              <a:solidFill>
                <a:schemeClr val="tx1">
                  <a:lumMod val="15000"/>
                  <a:lumOff val="85000"/>
                </a:schemeClr>
              </a:solidFill>
              <a:prstDash val="solid"/>
              <a:round/>
            </a:ln>
          </spPr>
        </majorGridlines>
        <numFmt formatCode="0.0%" sourceLinked="1"/>
        <majorTickMark val="none"/>
        <minorTickMark val="none"/>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773021103"/>
        <crosses val="autoZero"/>
        <crossBetween val="between"/>
      </valAx>
      <catAx>
        <axId val="1773030671"/>
        <scaling>
          <orientation val="minMax"/>
        </scaling>
        <delete val="1"/>
        <axPos val="b"/>
        <numFmt formatCode="General" sourceLinked="1"/>
        <majorTickMark val="out"/>
        <minorTickMark val="none"/>
        <tickLblPos val="nextTo"/>
        <crossAx val="1773015695"/>
        <crosses val="autoZero"/>
        <auto val="1"/>
        <lblAlgn val="ctr"/>
        <lblOffset val="100"/>
        <noMultiLvlLbl val="0"/>
      </catAx>
      <valAx>
        <axId val="1773015695"/>
        <scaling>
          <orientation val="minMax"/>
          <min val="0.01"/>
        </scaling>
        <delete val="0"/>
        <axPos val="r"/>
        <numFmt formatCode="0.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773030671"/>
        <crosses val="max"/>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10.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rPr lang="es-MX" sz="1600" b="1"/>
              <a:t xml:space="preserve">Inflación (porcentual) </a:t>
            </a:r>
          </a:p>
        </rich>
      </tx>
      <overlay val="0"/>
      <spPr>
        <a:noFill/>
        <a:ln>
          <a:noFill/>
          <a:prstDash val="solid"/>
        </a:ln>
      </spPr>
      <txPr>
        <a:bodyPr rot="0" spcFirstLastPara="1" vertOverflow="ellipsis" vert="horz" wrap="square" anchor="ctr" anchorCtr="1"/>
        <a:lstStyle/>
        <a:p>
          <a:pPr>
            <a:defRPr sz="1600" b="1" i="0" strike="noStrike" kern="1200" spc="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title>
    <plotArea>
      <layout/>
      <lineChart>
        <grouping val="standard"/>
        <varyColors val="0"/>
        <ser>
          <idx val="0"/>
          <order val="0"/>
          <tx>
            <strRef>
              <f>'INPC (Inflación)'!$C$9</f>
              <strCache>
                <ptCount val="1"/>
                <pt idx="0">
                  <v>Inflación</v>
                </pt>
              </strCache>
            </strRef>
          </tx>
          <spPr>
            <a:ln w="28575" cap="rnd">
              <a:solidFill>
                <a:srgbClr val="1E5B4F"/>
              </a:solidFill>
              <a:prstDash val="solid"/>
              <a:round/>
            </a:ln>
          </spPr>
          <marker>
            <symbol val="circle"/>
            <size val="5"/>
            <spPr>
              <a:solidFill>
                <a:srgbClr val="1E5B4F"/>
              </a:solidFill>
              <a:ln w="9525">
                <a:solidFill>
                  <a:srgbClr val="1E5B4F"/>
                </a:solidFill>
                <a:prstDash val="solid"/>
              </a:ln>
            </spPr>
          </marker>
          <dLbls>
            <dLbl>
              <idx val="9"/>
              <spPr>
                <a:solidFill>
                  <a:sysClr val="window" lastClr="FFFFFF"/>
                </a:solidFill>
                <a:ln>
                  <a:solidFill>
                    <a:sysClr val="windowText" lastClr="000000">
                      <a:lumOff val="75000"/>
                      <a:lumMod val="25000"/>
                    </a:sysClr>
                  </a:solidFill>
                  <a:prstDash val="solid"/>
                </a:ln>
              </spPr>
              <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dLbl>
            <dLbl>
              <idx val="11"/>
              <dLblPos val="b"/>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1E5B4F"/>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'INPC (Inflación)'!$B$10:$B$21</f>
              <strCache>
                <ptCount val="12"/>
                <pt idx="0">
                  <v>Jun 25</v>
                </pt>
                <pt idx="1">
                  <v>Jul 25</v>
                </pt>
                <pt idx="2">
                  <v>Ago 25</v>
                </pt>
                <pt idx="3">
                  <v>Sep 25</v>
                </pt>
                <pt idx="4">
                  <v>Oct 25</v>
                </pt>
                <pt idx="5">
                  <v>Nov 25</v>
                </pt>
                <pt idx="6">
                  <v>Dic 25</v>
                </pt>
                <pt idx="7">
                  <v>Ene 26</v>
                </pt>
                <pt idx="8">
                  <v>Feb 26</v>
                </pt>
                <pt idx="9">
                  <v>Mar 26</v>
                </pt>
                <pt idx="10">
                  <v>Abr 26</v>
                </pt>
                <pt idx="11">
                  <v>May 26</v>
                </pt>
              </strCache>
            </strRef>
          </cat>
          <val>
            <numRef>
              <f>'INPC (Inflación)'!$C$10:$C$21</f>
              <numCache>
                <formatCode>General</formatCode>
                <ptCount val="12"/>
                <pt idx="0">
                  <v>4.32</v>
                </pt>
                <pt idx="1">
                  <v>3.51</v>
                </pt>
                <pt idx="2">
                  <v>3.57</v>
                </pt>
                <pt idx="3">
                  <v>3.76</v>
                </pt>
                <pt idx="4">
                  <v>3.57</v>
                </pt>
                <pt idx="5">
                  <v>3.8</v>
                </pt>
                <pt idx="6">
                  <v>3.69</v>
                </pt>
                <pt idx="7">
                  <v>3.79</v>
                </pt>
                <pt idx="8">
                  <v>4.02</v>
                </pt>
                <pt idx="9">
                  <v>4.59</v>
                </pt>
                <pt idx="10">
                  <v>4.45</v>
                </pt>
                <pt idx="11">
                  <v>3.94</v>
                </pt>
              </numCache>
            </numRef>
          </val>
          <smooth val="0"/>
        </ser>
        <ser>
          <idx val="1"/>
          <order val="1"/>
          <tx>
            <strRef>
              <f>'INPC (Inflación)'!$D$9</f>
              <strCache>
                <ptCount val="1"/>
                <pt idx="0">
                  <v>Subyacente</v>
                </pt>
              </strCache>
            </strRef>
          </tx>
          <spPr>
            <a:ln w="28575" cap="rnd">
              <a:solidFill>
                <a:srgbClr val="9C2348"/>
              </a:solidFill>
              <a:prstDash val="solid"/>
              <a:round/>
            </a:ln>
          </spPr>
          <marker>
            <symbol val="circle"/>
            <size val="5"/>
            <spPr>
              <a:solidFill>
                <a:srgbClr val="9C2348"/>
              </a:solidFill>
              <a:ln w="9525">
                <a:solidFill>
                  <a:srgbClr val="9C2348"/>
                </a:solidFill>
                <a:prstDash val="solid"/>
              </a:ln>
            </spPr>
          </marker>
          <dLbls>
            <dLbl>
              <idx val="0"/>
            </dLbl>
            <dLbl>
              <idx val="9"/>
            </dLbl>
            <dLbl>
              <idx val="1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9C2348"/>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'INPC (Inflación)'!$B$10:$B$21</f>
              <strCache>
                <ptCount val="12"/>
                <pt idx="0">
                  <v>Jun 25</v>
                </pt>
                <pt idx="1">
                  <v>Jul 25</v>
                </pt>
                <pt idx="2">
                  <v>Ago 25</v>
                </pt>
                <pt idx="3">
                  <v>Sep 25</v>
                </pt>
                <pt idx="4">
                  <v>Oct 25</v>
                </pt>
                <pt idx="5">
                  <v>Nov 25</v>
                </pt>
                <pt idx="6">
                  <v>Dic 25</v>
                </pt>
                <pt idx="7">
                  <v>Ene 26</v>
                </pt>
                <pt idx="8">
                  <v>Feb 26</v>
                </pt>
                <pt idx="9">
                  <v>Mar 26</v>
                </pt>
                <pt idx="10">
                  <v>Abr 26</v>
                </pt>
                <pt idx="11">
                  <v>May 26</v>
                </pt>
              </strCache>
            </strRef>
          </cat>
          <val>
            <numRef>
              <f>'INPC (Inflación)'!$D$10:$D$21</f>
              <numCache>
                <formatCode>General</formatCode>
                <ptCount val="12"/>
                <pt idx="0">
                  <v>4.24</v>
                </pt>
                <pt idx="1">
                  <v>4.23</v>
                </pt>
                <pt idx="2">
                  <v>4.23</v>
                </pt>
                <pt idx="3">
                  <v>4.28</v>
                </pt>
                <pt idx="4">
                  <v>4.28</v>
                </pt>
                <pt idx="5">
                  <v>4.43</v>
                </pt>
                <pt idx="6">
                  <v>4.33</v>
                </pt>
                <pt idx="7">
                  <v>4.52</v>
                </pt>
                <pt idx="8">
                  <v>4.5</v>
                </pt>
                <pt idx="9">
                  <v>4.45</v>
                </pt>
                <pt idx="10">
                  <v>4.26</v>
                </pt>
                <pt idx="11">
                  <v>4.19</v>
                </pt>
              </numCache>
            </numRef>
          </val>
          <smooth val="0"/>
        </ser>
        <ser>
          <idx val="2"/>
          <order val="2"/>
          <tx>
            <strRef>
              <f>'INPC (Inflación)'!$E$9</f>
              <strCache>
                <ptCount val="1"/>
                <pt idx="0">
                  <v>No subyacente</v>
                </pt>
              </strCache>
            </strRef>
          </tx>
          <spPr>
            <a:ln w="28575" cap="rnd">
              <a:solidFill>
                <a:srgbClr val="A6802D"/>
              </a:solidFill>
              <a:prstDash val="solid"/>
              <a:round/>
            </a:ln>
          </spPr>
          <marker>
            <symbol val="circle"/>
            <size val="5"/>
            <spPr>
              <a:solidFill>
                <a:srgbClr val="A6802D"/>
              </a:solidFill>
              <a:ln w="9525">
                <a:solidFill>
                  <a:srgbClr val="A6802D"/>
                </a:solidFill>
                <a:prstDash val="solid"/>
              </a:ln>
            </spPr>
          </marker>
          <dLbls>
            <dLbl>
              <idx val="1"/>
              <dLblPos val="l"/>
              <showLegendKey val="0"/>
              <showVal val="1"/>
              <showCatName val="0"/>
              <showSerName val="0"/>
              <showPercent val="0"/>
              <showBubbleSize val="0"/>
            </dLbl>
            <dLbl>
              <idx val="8"/>
              <dLblPos val="l"/>
              <showLegendKey val="0"/>
              <showVal val="1"/>
              <showCatName val="0"/>
              <showSerName val="0"/>
              <showPercent val="0"/>
              <showBubbleSize val="0"/>
            </dLbl>
            <dLbl>
              <idx val="1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rgbClr val="A6802D"/>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dLbl>
            <dLbl>
              <idx val="11"/>
              <dLblPos val="b"/>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A6802D"/>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dLblPos val="t"/>
            <showLegendKey val="0"/>
            <showVal val="1"/>
            <showCatName val="0"/>
            <showSerName val="0"/>
            <showPercent val="0"/>
            <showBubbleSize val="0"/>
            <showLeaderLines val="0"/>
          </dLbls>
          <cat>
            <strRef>
              <f>'INPC (Inflación)'!$B$10:$B$21</f>
              <strCache>
                <ptCount val="12"/>
                <pt idx="0">
                  <v>Jun 25</v>
                </pt>
                <pt idx="1">
                  <v>Jul 25</v>
                </pt>
                <pt idx="2">
                  <v>Ago 25</v>
                </pt>
                <pt idx="3">
                  <v>Sep 25</v>
                </pt>
                <pt idx="4">
                  <v>Oct 25</v>
                </pt>
                <pt idx="5">
                  <v>Nov 25</v>
                </pt>
                <pt idx="6">
                  <v>Dic 25</v>
                </pt>
                <pt idx="7">
                  <v>Ene 26</v>
                </pt>
                <pt idx="8">
                  <v>Feb 26</v>
                </pt>
                <pt idx="9">
                  <v>Mar 26</v>
                </pt>
                <pt idx="10">
                  <v>Abr 26</v>
                </pt>
                <pt idx="11">
                  <v>May 26</v>
                </pt>
              </strCache>
            </strRef>
          </cat>
          <val>
            <numRef>
              <f>'INPC (Inflación)'!$E$10:$E$21</f>
              <numCache>
                <formatCode>General</formatCode>
                <ptCount val="12"/>
                <pt idx="0">
                  <v>4.33</v>
                </pt>
                <pt idx="1">
                  <v>1.14</v>
                </pt>
                <pt idx="2">
                  <v>1.38</v>
                </pt>
                <pt idx="3">
                  <v>2.02</v>
                </pt>
                <pt idx="4">
                  <v>1.18</v>
                </pt>
                <pt idx="5">
                  <v>1.73</v>
                </pt>
                <pt idx="6">
                  <v>1.61</v>
                </pt>
                <pt idx="7">
                  <v>1.39</v>
                </pt>
                <pt idx="8">
                  <v>2.44</v>
                </pt>
                <pt idx="9">
                  <v>5.05</v>
                </pt>
                <pt idx="10">
                  <v>5.08</v>
                </pt>
                <pt idx="11">
                  <v>3.1</v>
                </pt>
              </numCache>
            </numRef>
          </val>
          <smooth val="0"/>
        </ser>
        <ser>
          <idx val="3"/>
          <order val="3"/>
          <tx>
            <strRef>
              <f>'INPC (Inflación)'!$F$9</f>
              <strCache>
                <ptCount val="1"/>
                <pt idx="0">
                  <v>Banxico</v>
                </pt>
              </strCache>
            </strRef>
          </tx>
          <spPr>
            <a:ln w="28575" cap="rnd">
              <a:solidFill>
                <a:srgbClr val="0070C0"/>
              </a:solidFill>
              <a:prstDash val="solid"/>
              <a:round/>
            </a:ln>
          </spPr>
          <marker>
            <symbol val="circle"/>
            <size val="5"/>
            <spPr>
              <a:solidFill>
                <a:srgbClr val="0070C0"/>
              </a:solidFill>
              <a:ln w="9525">
                <a:solidFill>
                  <a:srgbClr val="0070C0"/>
                </a:solidFill>
                <a:prstDash val="solid"/>
              </a:ln>
            </spPr>
          </marker>
          <dLbls>
            <dLbl>
              <idx val="0"/>
              <dLblPos val="t"/>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showLegendKey val="0"/>
            <showVal val="0"/>
            <showCatName val="0"/>
            <showSerName val="0"/>
            <showPercent val="0"/>
            <showBubbleSize val="0"/>
          </dLbls>
          <cat>
            <strRef>
              <f>'INPC (Inflación)'!$B$10:$B$21</f>
              <strCache>
                <ptCount val="12"/>
                <pt idx="0">
                  <v>Jun 25</v>
                </pt>
                <pt idx="1">
                  <v>Jul 25</v>
                </pt>
                <pt idx="2">
                  <v>Ago 25</v>
                </pt>
                <pt idx="3">
                  <v>Sep 25</v>
                </pt>
                <pt idx="4">
                  <v>Oct 25</v>
                </pt>
                <pt idx="5">
                  <v>Nov 25</v>
                </pt>
                <pt idx="6">
                  <v>Dic 25</v>
                </pt>
                <pt idx="7">
                  <v>Ene 26</v>
                </pt>
                <pt idx="8">
                  <v>Feb 26</v>
                </pt>
                <pt idx="9">
                  <v>Mar 26</v>
                </pt>
                <pt idx="10">
                  <v>Abr 26</v>
                </pt>
                <pt idx="11">
                  <v>May 26</v>
                </pt>
              </strCache>
            </strRef>
          </cat>
          <val>
            <numRef>
              <f>'INPC (Inflación)'!$F$10:$F$21</f>
              <numCache>
                <formatCode>General</formatCode>
                <ptCount val="12"/>
                <pt idx="0">
                  <v>3</v>
                </pt>
                <pt idx="1">
                  <v>3</v>
                </pt>
                <pt idx="2">
                  <v>3</v>
                </pt>
                <pt idx="3">
                  <v>3</v>
                </pt>
                <pt idx="4">
                  <v>3</v>
                </pt>
                <pt idx="5">
                  <v>3</v>
                </pt>
                <pt idx="6">
                  <v>3</v>
                </pt>
                <pt idx="7">
                  <v>3</v>
                </pt>
                <pt idx="8">
                  <v>3</v>
                </pt>
                <pt idx="9">
                  <v>3</v>
                </pt>
                <pt idx="10">
                  <v>3</v>
                </pt>
                <pt idx="11">
                  <v>3</v>
                </pt>
              </numCache>
            </numRef>
          </val>
          <smooth val="0"/>
        </ser>
        <dLbls>
          <showLegendKey val="0"/>
          <showVal val="0"/>
          <showCatName val="0"/>
          <showSerName val="0"/>
          <showPercent val="0"/>
          <showBubbleSize val="0"/>
        </dLbls>
        <marker val="1"/>
        <smooth val="0"/>
        <axId val="1771803888"/>
        <axId val="1771804720"/>
      </lineChart>
      <catAx>
        <axId val="177180388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771804720"/>
        <crosses val="autoZero"/>
        <auto val="1"/>
        <lblAlgn val="ctr"/>
        <lblOffset val="100"/>
        <noMultiLvlLbl val="0"/>
      </catAx>
      <valAx>
        <axId val="1771804720"/>
        <scaling>
          <orientation val="minMax"/>
          <max val="5.5"/>
          <min val="0"/>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crossAx val="1771803888"/>
        <crosses val="autoZero"/>
        <crossBetween val="between"/>
      </valAx>
    </plotArea>
    <legend>
      <legendPos val="t"/>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Noto Sans" panose="020B0502040504020204" pitchFamily="34" charset="0"/>
              <a:ea typeface="Noto Sans" panose="020B0502040504020204" pitchFamily="34" charset="0"/>
              <a:cs typeface="Noto Sans" panose="020B0502040504020204" pitchFamily="34" charset="0"/>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_rels/drawing10.xml.rels><Relationships xmlns="http://schemas.openxmlformats.org/package/2006/relationships"><Relationship Type="http://schemas.openxmlformats.org/officeDocument/2006/relationships/chart" Target="/xl/charts/chart10.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19049</colOff>
      <row>7</row>
      <rowOff>247649</rowOff>
    </from>
    <to>
      <col>16</col>
      <colOff>9524</colOff>
      <row>33</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9524</colOff>
      <row>8</row>
      <rowOff>9525</rowOff>
    </from>
    <to>
      <col>20</col>
      <colOff>609600</colOff>
      <row>34</row>
      <rowOff>142875</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9525</colOff>
      <row>8</row>
      <rowOff>19050</rowOff>
    </from>
    <to>
      <col>17</col>
      <colOff>9525</colOff>
      <row>30</row>
      <rowOff>19050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23811</colOff>
      <row>8</row>
      <rowOff>9524</rowOff>
    </from>
    <to>
      <col>16</col>
      <colOff>9525</colOff>
      <row>27</row>
      <rowOff>190499</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430893</colOff>
      <row>8</row>
      <rowOff>379185</rowOff>
    </from>
    <to>
      <col>14</col>
      <colOff>181428</colOff>
      <row>34</row>
      <rowOff>9071</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380999</colOff>
      <row>8</row>
      <rowOff>9524</rowOff>
    </from>
    <to>
      <col>17</col>
      <colOff>752474</colOff>
      <row>29</row>
      <rowOff>180974</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4761</colOff>
      <row>8</row>
      <rowOff>0</rowOff>
    </from>
    <to>
      <col>15</col>
      <colOff>809624</colOff>
      <row>29</row>
      <rowOff>171450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9524</colOff>
      <row>7</row>
      <rowOff>190500</rowOff>
    </from>
    <to>
      <col>17</col>
      <colOff>0</colOff>
      <row>30</row>
      <rowOff>28575</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14286</colOff>
      <row>8</row>
      <rowOff>19050</rowOff>
    </from>
    <to>
      <col>15</col>
      <colOff>761999</colOff>
      <row>33</row>
      <rowOff>85725</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4762</colOff>
      <row>7</row>
      <rowOff>247649</rowOff>
    </from>
    <to>
      <col>17</col>
      <colOff>742950</colOff>
      <row>29</row>
      <rowOff>190499</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a2" displayName="Tabla2" ref="B9:F21" headerRowCount="1" totalsRowShown="0" headerRowDxfId="6" dataDxfId="5">
  <tableColumns count="5">
    <tableColumn id="1" name="Mes" dataDxfId="4"/>
    <tableColumn id="2" name="Inflación" dataDxfId="3"/>
    <tableColumn id="5" name="Subyacente" dataDxfId="2"/>
    <tableColumn id="4" name="No subyacente" dataDxfId="1"/>
    <tableColumn id="3" name="Banxic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_rels/sheet8.xml.rels><Relationships xmlns="http://schemas.openxmlformats.org/package/2006/relationships"><Relationship Type="http://schemas.openxmlformats.org/officeDocument/2006/relationships/drawing" Target="/xl/drawings/drawing7.xml" Id="rId1" /></Relationships>
</file>

<file path=xl/worksheets/_rels/sheet9.xml.rels><Relationships xmlns="http://schemas.openxmlformats.org/package/2006/relationships"><Relationship Type="http://schemas.openxmlformats.org/officeDocument/2006/relationships/drawing" Target="/xl/drawings/drawing8.xml" Id="rId1" /></Relationships>
</file>

<file path=xl/worksheets/_rels/sheet10.xml.rels><Relationships xmlns="http://schemas.openxmlformats.org/package/2006/relationships"><Relationship Type="http://schemas.openxmlformats.org/officeDocument/2006/relationships/drawing" Target="/xl/drawings/drawing9.xml" Id="rId1" /></Relationships>
</file>

<file path=xl/worksheets/_rels/sheet11.xml.rels><Relationships xmlns="http://schemas.openxmlformats.org/package/2006/relationships"><Relationship Type="http://schemas.openxmlformats.org/officeDocument/2006/relationships/drawing" Target="/xl/drawings/drawing10.xml" Id="rId1" /><Relationship Type="http://schemas.openxmlformats.org/officeDocument/2006/relationships/table" Target="/xl/tables/table1.xml" Id="rId2" /></Relationships>
</file>

<file path=xl/worksheets/sheet1.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42" customWidth="1" min="1" max="1"/>
    <col width="30" customWidth="1" min="2" max="2"/>
    <col width="14" customWidth="1" min="3" max="3"/>
    <col width="20" customWidth="1" min="4" max="4"/>
    <col width="16" customWidth="1" min="5" max="5"/>
    <col width="14" customWidth="1" min="6" max="6"/>
    <col width="30" customWidth="1" min="7" max="7"/>
  </cols>
  <sheetData>
    <row r="1">
      <c r="A1" s="61" t="inlineStr">
        <is>
          <t>Indicadores macroeconómicos de México — Síntesis de coyuntura</t>
        </is>
      </c>
    </row>
    <row r="2">
      <c r="A2" s="62" t="inlineStr">
        <is>
          <t>Generado: 30/10/2026 18:24 UTC</t>
        </is>
      </c>
    </row>
    <row r="4">
      <c r="A4" s="63" t="inlineStr">
        <is>
          <t>Indicador</t>
        </is>
      </c>
      <c r="B4" s="63" t="inlineStr">
        <is>
          <t>Fuente</t>
        </is>
      </c>
      <c r="C4" s="63" t="inlineStr">
        <is>
          <t>Frecuencia</t>
        </is>
      </c>
      <c r="D4" s="63" t="inlineStr">
        <is>
          <t>Última observación</t>
        </is>
      </c>
      <c r="E4" s="63" t="inlineStr">
        <is>
          <t>Último valor</t>
        </is>
      </c>
      <c r="F4" s="63" t="inlineStr">
        <is>
          <t>Variación</t>
        </is>
      </c>
      <c r="G4" s="63" t="inlineStr">
        <is>
          <t>Unidad</t>
        </is>
      </c>
    </row>
    <row r="5">
      <c r="A5" s="64" t="inlineStr">
        <is>
          <t>Producto Interno Bruto</t>
        </is>
      </c>
      <c r="B5" s="64" t="inlineStr">
        <is>
          <t>INEGI</t>
        </is>
      </c>
      <c r="C5" s="64" t="inlineStr">
        <is>
          <t>Trimestral</t>
        </is>
      </c>
      <c r="D5" s="64" t="inlineStr">
        <is>
          <t>1T-26 P</t>
        </is>
      </c>
      <c r="E5" s="64" t="n">
        <v>24973976.071</v>
      </c>
      <c r="F5" s="64" t="n">
        <v>0.002423</v>
      </c>
      <c r="G5" s="64" t="inlineStr">
        <is>
          <t>Millones de pesos (a precios de 2018)</t>
        </is>
      </c>
    </row>
    <row r="6">
      <c r="A6" s="65" t="inlineStr">
        <is>
          <t>Producto Interno Bruto por sector de actividad</t>
        </is>
      </c>
      <c r="B6" s="65" t="inlineStr">
        <is>
          <t>INEGI</t>
        </is>
      </c>
      <c r="C6" s="65" t="inlineStr">
        <is>
          <t>Trimestral</t>
        </is>
      </c>
      <c r="D6" s="65" t="inlineStr">
        <is>
          <t>1T-26 P</t>
        </is>
      </c>
      <c r="E6" s="65" t="n">
        <v>856921.087012258</v>
      </c>
      <c r="F6" s="65" t="n">
        <v>7750175.3189237</v>
      </c>
      <c r="G6" s="65" t="inlineStr">
        <is>
          <t>Millones de pesos (a precios de 2018)</t>
        </is>
      </c>
    </row>
    <row r="7">
      <c r="A7" s="64" t="inlineStr">
        <is>
          <t>Indicador Global de la Actividad Económica</t>
        </is>
      </c>
      <c r="B7" s="64" t="inlineStr">
        <is>
          <t>INEGI</t>
        </is>
      </c>
      <c r="C7" s="64" t="inlineStr">
        <is>
          <t>Mensual</t>
        </is>
      </c>
      <c r="D7" s="64" t="inlineStr">
        <is>
          <t>May 26</t>
        </is>
      </c>
      <c r="E7" s="64" t="n">
        <v>108.595752</v>
      </c>
      <c r="F7" s="64" t="n"/>
      <c r="G7" s="64" t="inlineStr">
        <is>
          <t>Índice base 2018=100</t>
        </is>
      </c>
    </row>
    <row r="8">
      <c r="A8" s="65" t="inlineStr">
        <is>
          <t>Indicador Mensual de la Actividad Industrial</t>
        </is>
      </c>
      <c r="B8" s="65" t="inlineStr">
        <is>
          <t>INEGI</t>
        </is>
      </c>
      <c r="C8" s="65" t="inlineStr">
        <is>
          <t>Mensual</t>
        </is>
      </c>
      <c r="D8" s="65" t="inlineStr">
        <is>
          <t>May 26</t>
        </is>
      </c>
      <c r="E8" s="65" t="n">
        <v>101.629971</v>
      </c>
      <c r="F8" s="65" t="n">
        <v>-0.007713</v>
      </c>
      <c r="G8" s="65" t="inlineStr">
        <is>
          <t>Índice base 2018=100</t>
        </is>
      </c>
    </row>
    <row r="9">
      <c r="A9" s="64" t="inlineStr">
        <is>
          <t>Balanza comercial</t>
        </is>
      </c>
      <c r="B9" s="64" t="inlineStr">
        <is>
          <t>INEGI</t>
        </is>
      </c>
      <c r="C9" s="64" t="inlineStr">
        <is>
          <t>Mensual</t>
        </is>
      </c>
      <c r="D9" s="64" t="inlineStr">
        <is>
          <t>Jun 26</t>
        </is>
      </c>
      <c r="E9" s="64" t="n">
        <v>72551.015</v>
      </c>
      <c r="F9" s="64" t="n">
        <v>68461.11900000001</v>
      </c>
      <c r="G9" s="64" t="inlineStr">
        <is>
          <t>Millones de dólares</t>
        </is>
      </c>
    </row>
    <row r="10">
      <c r="A10" s="65" t="inlineStr">
        <is>
          <t>Tasa de desocupación</t>
        </is>
      </c>
      <c r="B10" s="65" t="inlineStr">
        <is>
          <t>INEGI — Encuesta Nacional de Ocupación y Empleo (ENOE/ENOEN)</t>
        </is>
      </c>
      <c r="C10" s="65" t="inlineStr">
        <is>
          <t>Mensual</t>
        </is>
      </c>
      <c r="D10" s="65" t="inlineStr">
        <is>
          <t>Jun 26</t>
        </is>
      </c>
      <c r="E10" s="65" t="n">
        <v>0.028985</v>
      </c>
      <c r="F10" s="65" t="n"/>
      <c r="G10" s="65" t="inlineStr">
        <is>
          <t>Porcentaje de la PEA</t>
        </is>
      </c>
    </row>
    <row r="11">
      <c r="A11" s="64" t="inlineStr">
        <is>
          <t>Índice de Precios al Consumidor</t>
        </is>
      </c>
      <c r="B11" s="64" t="inlineStr">
        <is>
          <t>INEGI</t>
        </is>
      </c>
      <c r="C11" s="64" t="inlineStr">
        <is>
          <t>Mensual</t>
        </is>
      </c>
      <c r="D11" s="64" t="inlineStr">
        <is>
          <t>Jun 26</t>
        </is>
      </c>
      <c r="E11" s="64" t="n">
        <v>3.365977</v>
      </c>
      <c r="F11" s="64" t="n">
        <v>4.03192</v>
      </c>
      <c r="G11" s="64" t="inlineStr">
        <is>
          <t>Variación anual (%)</t>
        </is>
      </c>
    </row>
    <row r="12">
      <c r="A12" s="65" t="inlineStr">
        <is>
          <t>Indicador mensual del consumo privado</t>
        </is>
      </c>
      <c r="B12" s="65" t="inlineStr">
        <is>
          <t>INEGI</t>
        </is>
      </c>
      <c r="C12" s="65" t="inlineStr">
        <is>
          <t>Mensual</t>
        </is>
      </c>
      <c r="D12" s="65" t="inlineStr">
        <is>
          <t>Mar 26 P</t>
        </is>
      </c>
      <c r="E12" s="65" t="n">
        <v>113.5132947678</v>
      </c>
      <c r="F12" s="65" t="n">
        <v>0.0867002724360284</v>
      </c>
      <c r="G12" s="65" t="inlineStr">
        <is>
          <t>Índice base 2018=100</t>
        </is>
      </c>
    </row>
    <row r="13">
      <c r="A13" s="64" t="inlineStr">
        <is>
          <t>Indicador Mensual de la Formación Bruta de Capital Fijo</t>
        </is>
      </c>
      <c r="B13" s="64" t="inlineStr">
        <is>
          <t>INEGI</t>
        </is>
      </c>
      <c r="C13" s="64" t="inlineStr">
        <is>
          <t>Mensual</t>
        </is>
      </c>
      <c r="D13" s="64" t="n"/>
      <c r="E13" s="64" t="n"/>
      <c r="F13" s="64" t="n"/>
      <c r="G13" s="64" t="inlineStr">
        <is>
          <t>Índice base 2018=100</t>
        </is>
      </c>
    </row>
    <row r="14">
      <c r="A14" s="65" t="inlineStr">
        <is>
          <t>Indicador Oportuno de la Actividad Económica</t>
        </is>
      </c>
      <c r="B14" s="65" t="inlineStr">
        <is>
          <t>INEGI</t>
        </is>
      </c>
      <c r="C14" s="65" t="inlineStr">
        <is>
          <t>Mensual</t>
        </is>
      </c>
      <c r="D14" s="65" t="n"/>
      <c r="E14" s="65" t="n"/>
      <c r="F14" s="65" t="n"/>
      <c r="G14" s="65" t="inlineStr">
        <is>
          <t>Variación mensual estimada (%)</t>
        </is>
      </c>
    </row>
    <row r="15">
      <c r="A15" s="64" t="inlineStr">
        <is>
          <t>Encuesta Mensual de la Industria Manufacturera</t>
        </is>
      </c>
      <c r="B15" s="64" t="inlineStr">
        <is>
          <t>INEGI</t>
        </is>
      </c>
      <c r="C15" s="64" t="inlineStr">
        <is>
          <t>Mensual</t>
        </is>
      </c>
      <c r="D15" s="64" t="n"/>
      <c r="E15" s="64" t="n"/>
      <c r="F15" s="64" t="n"/>
      <c r="G15" s="64" t="inlineStr">
        <is>
          <t>Índice</t>
        </is>
      </c>
    </row>
    <row r="16">
      <c r="A16" s="65" t="inlineStr">
        <is>
          <t>Inversión Extranjera Directa (IED)</t>
        </is>
      </c>
      <c r="B16" s="65" t="inlineStr">
        <is>
          <t>Registro Nacional de Inversiones Extranjeras (RNIE). Secretaría de Economía</t>
        </is>
      </c>
      <c r="C16" s="65" t="inlineStr">
        <is>
          <t>Trimestral</t>
        </is>
      </c>
      <c r="D16" s="65" t="inlineStr">
        <is>
          <t>1T-26</t>
        </is>
      </c>
      <c r="E16" s="65" t="n">
        <v>23590.62204554513</v>
      </c>
      <c r="F16" s="65" t="n">
        <v>1705.227100742525</v>
      </c>
      <c r="G16" s="65" t="inlineStr">
        <is>
          <t>Millones de dólares</t>
        </is>
      </c>
    </row>
    <row r="17">
      <c r="A17" s="64" t="inlineStr">
        <is>
          <t>Tipo de cambio FIX</t>
        </is>
      </c>
      <c r="B17" s="64" t="inlineStr">
        <is>
          <t>Banco de México</t>
        </is>
      </c>
      <c r="C17" s="64" t="inlineStr">
        <is>
          <t>Diaria</t>
        </is>
      </c>
      <c r="D17" s="64" t="n"/>
      <c r="E17" s="64" t="n"/>
      <c r="F17" s="64" t="n"/>
      <c r="G17" s="64" t="inlineStr">
        <is>
          <t>Pesos por dólar</t>
        </is>
      </c>
    </row>
    <row r="18">
      <c r="A18" s="65" t="inlineStr">
        <is>
          <t>Tasa de interés objetivo</t>
        </is>
      </c>
      <c r="B18" s="65" t="inlineStr">
        <is>
          <t>Banco de México</t>
        </is>
      </c>
      <c r="C18" s="65" t="inlineStr">
        <is>
          <t>Por reunión</t>
        </is>
      </c>
      <c r="D18" s="65" t="n"/>
      <c r="E18" s="65" t="n"/>
      <c r="F18" s="65" t="n"/>
      <c r="G18" s="65" t="inlineStr">
        <is>
          <t>Porcentaje anual</t>
        </is>
      </c>
    </row>
    <row r="19">
      <c r="A19" s="64" t="inlineStr">
        <is>
          <t>Reservas internacionales</t>
        </is>
      </c>
      <c r="B19" s="64" t="inlineStr">
        <is>
          <t>Banco de México</t>
        </is>
      </c>
      <c r="C19" s="64" t="inlineStr">
        <is>
          <t>Semanal</t>
        </is>
      </c>
      <c r="D19" s="64" t="n"/>
      <c r="E19" s="64" t="n"/>
      <c r="F19" s="64" t="n"/>
      <c r="G19" s="64" t="inlineStr">
        <is>
          <t>Millones de dólares</t>
        </is>
      </c>
    </row>
    <row r="21">
      <c r="A21" s="66" t="inlineStr">
        <is>
          <t>Nota: cifras oficiales sujetas a revisión. Análisis por reglas deterministas; no se atribuye causalidad. La fuente de la tasa de desocupación es INEGI/ENOE. Los indicadores en estado 'pendiente de token' o 'dato de respaldo' no se presentan como actualización automática (ver 'Control de actualizaciones').</t>
        </is>
      </c>
    </row>
    <row r="22"/>
  </sheetData>
  <mergeCells count="1">
    <mergeCell ref="A21:G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U34"/>
  <sheetViews>
    <sheetView topLeftCell="A7" workbookViewId="0">
      <selection activeCell="B34" sqref="B34"/>
    </sheetView>
  </sheetViews>
  <sheetFormatPr baseColWidth="10" defaultRowHeight="15"/>
  <cols>
    <col width="5.7109375" customWidth="1" min="1" max="1"/>
    <col width="15.7109375" customWidth="1" min="2" max="2"/>
    <col width="12.28515625" bestFit="1" customWidth="1" min="3" max="3"/>
    <col width="14" bestFit="1" customWidth="1" min="4" max="4"/>
    <col width="5.7109375" customWidth="1" min="5" max="5"/>
    <col width="12.28515625" bestFit="1" customWidth="1" min="6" max="21"/>
  </cols>
  <sheetData>
    <row r="2" ht="20.1" customHeight="1">
      <c r="B2" s="18" t="inlineStr">
        <is>
          <t xml:space="preserve">Nombre </t>
        </is>
      </c>
      <c r="C2" s="41" t="inlineStr">
        <is>
          <t>Producto Interno Bruto</t>
        </is>
      </c>
      <c r="D2" s="67" t="n"/>
      <c r="E2" s="67" t="n"/>
      <c r="F2" s="67" t="n"/>
      <c r="G2" s="67" t="n"/>
      <c r="H2" s="67" t="n"/>
      <c r="I2" s="67" t="n"/>
      <c r="J2" s="67" t="n"/>
      <c r="K2" s="67" t="n"/>
      <c r="L2" s="67" t="n"/>
      <c r="M2" s="67" t="n"/>
      <c r="N2" s="67" t="n"/>
      <c r="O2" s="67" t="n"/>
      <c r="P2" s="68" t="n"/>
    </row>
    <row r="3" ht="39.95" customHeight="1">
      <c r="B3" s="18" t="inlineStr">
        <is>
          <t>Descripción</t>
        </is>
      </c>
      <c r="C3" s="69" t="inlineStr">
        <is>
          <t>La suma de los valores de mercado de todos los servicios y bienes finales, producidos por los recursos de la economía que residen en el país. Es un concepto de valor agregado, por lo que se contabilizan los bienes finales que se producen para consumo y no los intermedios para el uso de otro bien final.</t>
        </is>
      </c>
      <c r="D3" s="67" t="n"/>
      <c r="E3" s="67" t="n"/>
      <c r="F3" s="67" t="n"/>
      <c r="G3" s="67" t="n"/>
      <c r="H3" s="67" t="n"/>
      <c r="I3" s="67" t="n"/>
      <c r="J3" s="67" t="n"/>
      <c r="K3" s="67" t="n"/>
      <c r="L3" s="67" t="n"/>
      <c r="M3" s="67" t="n"/>
      <c r="N3" s="67" t="n"/>
      <c r="O3" s="67" t="n"/>
      <c r="P3" s="68" t="n"/>
    </row>
    <row r="4" ht="20.1" customHeight="1">
      <c r="B4" s="18" t="inlineStr">
        <is>
          <t>Frecuencia</t>
        </is>
      </c>
      <c r="C4" s="41" t="inlineStr">
        <is>
          <t>Trimestral</t>
        </is>
      </c>
      <c r="D4" s="67" t="n"/>
      <c r="E4" s="67" t="n"/>
      <c r="F4" s="67" t="n"/>
      <c r="G4" s="67" t="n"/>
      <c r="H4" s="67" t="n"/>
      <c r="I4" s="67" t="n"/>
      <c r="J4" s="67" t="n"/>
      <c r="K4" s="67" t="n"/>
      <c r="L4" s="67" t="n"/>
      <c r="M4" s="67" t="n"/>
      <c r="N4" s="67" t="n"/>
      <c r="O4" s="67" t="n"/>
      <c r="P4" s="68" t="n"/>
    </row>
    <row r="5" ht="20.1" customHeight="1">
      <c r="B5" s="18" t="inlineStr">
        <is>
          <t>Publicación</t>
        </is>
      </c>
      <c r="C5" s="41" t="inlineStr">
        <is>
          <t>Aproximadamente 50 días después de haber concluido el trimestre</t>
        </is>
      </c>
      <c r="D5" s="67" t="n"/>
      <c r="E5" s="67" t="n"/>
      <c r="F5" s="67" t="n"/>
      <c r="G5" s="67" t="n"/>
      <c r="H5" s="67" t="n"/>
      <c r="I5" s="67" t="n"/>
      <c r="J5" s="67" t="n"/>
      <c r="K5" s="67" t="n"/>
      <c r="L5" s="67" t="n"/>
      <c r="M5" s="67" t="n"/>
      <c r="N5" s="67" t="n"/>
      <c r="O5" s="67" t="n"/>
      <c r="P5" s="68" t="n"/>
    </row>
    <row r="6" ht="20.1" customHeight="1">
      <c r="B6" s="18" t="inlineStr">
        <is>
          <t>Próximo dato</t>
        </is>
      </c>
      <c r="C6" s="41" t="inlineStr">
        <is>
          <t>Finales de junio (oportuno); finales de agosto (definitivo)</t>
        </is>
      </c>
      <c r="D6" s="67" t="n"/>
      <c r="E6" s="67" t="n"/>
      <c r="F6" s="67" t="n"/>
      <c r="G6" s="67" t="n"/>
      <c r="H6" s="67" t="n"/>
      <c r="I6" s="67" t="n"/>
      <c r="J6" s="67" t="n"/>
      <c r="K6" s="67" t="n"/>
      <c r="L6" s="67" t="n"/>
      <c r="M6" s="67" t="n"/>
      <c r="N6" s="67" t="n"/>
      <c r="O6" s="67" t="n"/>
      <c r="P6" s="68" t="n"/>
    </row>
    <row r="7" ht="39.95" customHeight="1">
      <c r="B7" s="19" t="inlineStr">
        <is>
          <t>Fuente</t>
        </is>
      </c>
      <c r="C7" s="43" t="inlineStr">
        <is>
          <t>INEGI 
https://www.inegi.org.mx/app/indicadores/?tm=3#D733671_600917</t>
        </is>
      </c>
      <c r="D7" s="70" t="n"/>
      <c r="E7" s="70" t="n"/>
      <c r="F7" s="70" t="n"/>
      <c r="G7" s="70" t="n"/>
      <c r="H7" s="70" t="n"/>
      <c r="I7" s="70" t="n"/>
      <c r="J7" s="70" t="n"/>
      <c r="K7" s="70" t="n"/>
      <c r="L7" s="70" t="n"/>
      <c r="M7" s="70" t="n"/>
      <c r="N7" s="70" t="n"/>
      <c r="O7" s="70" t="n"/>
      <c r="P7" s="70" t="n"/>
    </row>
    <row r="8" ht="20.1" customHeight="1">
      <c r="B8" s="6" t="n"/>
      <c r="C8" s="6" t="n"/>
      <c r="D8" s="6" t="n"/>
      <c r="E8" s="6" t="n"/>
      <c r="F8" s="6" t="n"/>
      <c r="G8" s="6" t="n"/>
      <c r="H8" s="6" t="n"/>
      <c r="I8" s="6" t="n"/>
      <c r="J8" s="6" t="n"/>
      <c r="K8" s="6" t="n"/>
      <c r="L8" s="6" t="n"/>
      <c r="M8" s="6" t="n"/>
      <c r="N8" s="6" t="n"/>
      <c r="O8" s="6" t="n"/>
      <c r="P8" s="6" t="n"/>
      <c r="Q8" s="6" t="n"/>
      <c r="R8" s="6" t="n"/>
      <c r="S8" s="6" t="n"/>
      <c r="T8" s="6" t="n"/>
      <c r="U8" s="6" t="n"/>
    </row>
    <row r="9" ht="19.5" customHeight="1">
      <c r="B9" s="10" t="inlineStr">
        <is>
          <t>Periodo</t>
        </is>
      </c>
      <c r="C9" s="8" t="inlineStr">
        <is>
          <t>PIB</t>
        </is>
      </c>
      <c r="D9" s="8" t="inlineStr">
        <is>
          <t>Var. Anual (%)</t>
        </is>
      </c>
      <c r="E9" s="6" t="n"/>
      <c r="F9" s="6" t="n"/>
      <c r="G9" s="6" t="n"/>
      <c r="H9" s="6" t="n"/>
      <c r="I9" s="6" t="n"/>
      <c r="J9" s="6" t="n"/>
      <c r="K9" s="6" t="n"/>
      <c r="L9" s="6" t="n"/>
      <c r="M9" s="6" t="n"/>
      <c r="N9" s="6" t="n"/>
      <c r="O9" s="6" t="n"/>
      <c r="P9" s="6" t="n"/>
      <c r="Q9" s="6" t="n"/>
      <c r="R9" s="6" t="n"/>
      <c r="S9" s="6" t="n"/>
      <c r="T9" s="6" t="n"/>
      <c r="U9" s="6" t="n"/>
    </row>
    <row r="10" ht="19.5" customHeight="1">
      <c r="B10" s="11" t="inlineStr">
        <is>
          <t>1T-21</t>
        </is>
      </c>
      <c r="C10" s="71" t="n">
        <v>22841359.7</v>
      </c>
      <c r="D10" s="37">
        <f>1.9/100</f>
        <v/>
      </c>
      <c r="E10" s="6" t="n"/>
      <c r="F10" s="6" t="n"/>
      <c r="G10" s="6" t="n"/>
      <c r="H10" s="6" t="n"/>
      <c r="I10" s="6" t="n"/>
      <c r="J10" s="6" t="n"/>
      <c r="K10" s="6" t="n"/>
      <c r="L10" s="6" t="n"/>
      <c r="M10" s="6" t="n"/>
      <c r="N10" s="6" t="n"/>
      <c r="O10" s="6" t="n"/>
      <c r="P10" s="6" t="n"/>
      <c r="Q10" s="6" t="n"/>
      <c r="R10" s="6" t="n"/>
      <c r="S10" s="6" t="n"/>
      <c r="T10" s="6" t="n"/>
      <c r="U10" s="6" t="n"/>
    </row>
    <row r="11" ht="19.5" customHeight="1">
      <c r="B11" s="11" t="inlineStr">
        <is>
          <t>2T-21</t>
        </is>
      </c>
      <c r="C11" s="71" t="n">
        <v>23623455.1</v>
      </c>
      <c r="D11" s="37">
        <f>5.1/100</f>
        <v/>
      </c>
      <c r="E11" s="6" t="n"/>
      <c r="F11" s="6" t="n"/>
      <c r="G11" s="6" t="n"/>
      <c r="H11" s="6" t="n"/>
      <c r="I11" s="6" t="n"/>
      <c r="J11" s="6" t="n"/>
      <c r="K11" s="6" t="n"/>
      <c r="L11" s="6" t="n"/>
      <c r="M11" s="6" t="n"/>
      <c r="N11" s="6" t="n"/>
      <c r="O11" s="6" t="n"/>
      <c r="P11" s="6" t="n"/>
      <c r="Q11" s="6" t="n"/>
      <c r="R11" s="6" t="n"/>
      <c r="S11" s="6" t="n"/>
      <c r="T11" s="6" t="n"/>
      <c r="U11" s="6" t="n"/>
    </row>
    <row r="12" ht="19.5" customHeight="1">
      <c r="B12" s="11" t="inlineStr">
        <is>
          <t>3T-21</t>
        </is>
      </c>
      <c r="C12" s="71" t="n">
        <v>23204796.8</v>
      </c>
      <c r="D12" s="37">
        <f>22.7/100</f>
        <v/>
      </c>
      <c r="E12" s="6" t="n"/>
      <c r="F12" s="6" t="n"/>
      <c r="G12" s="6" t="n"/>
      <c r="H12" s="6" t="n"/>
      <c r="I12" s="6" t="n"/>
      <c r="J12" s="6" t="n"/>
      <c r="K12" s="6" t="n"/>
      <c r="L12" s="6" t="n"/>
      <c r="M12" s="6" t="n"/>
      <c r="N12" s="6" t="n"/>
      <c r="O12" s="6" t="n"/>
      <c r="P12" s="6" t="n"/>
      <c r="Q12" s="6" t="n"/>
      <c r="R12" s="6" t="n"/>
      <c r="S12" s="6" t="n"/>
      <c r="T12" s="6" t="n"/>
      <c r="U12" s="6" t="n"/>
    </row>
    <row r="13" ht="19.5" customHeight="1">
      <c r="B13" s="11" t="inlineStr">
        <is>
          <t>4T-21</t>
        </is>
      </c>
      <c r="C13" s="71" t="n">
        <v>23949712.9</v>
      </c>
      <c r="D13" s="37">
        <f>-2.6/100</f>
        <v/>
      </c>
      <c r="E13" s="6" t="n"/>
      <c r="F13" s="6" t="n"/>
      <c r="G13" s="6" t="n"/>
      <c r="H13" s="6" t="n"/>
      <c r="I13" s="6" t="n"/>
      <c r="J13" s="6" t="n"/>
      <c r="K13" s="6" t="n"/>
      <c r="L13" s="6" t="n"/>
      <c r="M13" s="6" t="n"/>
      <c r="N13" s="6" t="n"/>
      <c r="O13" s="6" t="n"/>
      <c r="P13" s="6" t="n"/>
      <c r="Q13" s="6" t="n"/>
      <c r="R13" s="6" t="n"/>
      <c r="S13" s="6" t="n"/>
      <c r="T13" s="6" t="n"/>
      <c r="U13" s="6" t="n"/>
    </row>
    <row r="14" ht="19.5" customHeight="1">
      <c r="B14" s="11" t="inlineStr">
        <is>
          <t>1T-22</t>
        </is>
      </c>
      <c r="C14" s="71" t="n">
        <v>23440574.5</v>
      </c>
      <c r="D14" s="37">
        <f>C14/C10-1</f>
        <v/>
      </c>
      <c r="E14" s="6" t="n"/>
      <c r="F14" s="6" t="n"/>
      <c r="G14" s="6" t="n"/>
      <c r="H14" s="6" t="n"/>
      <c r="I14" s="6" t="n"/>
      <c r="J14" s="6" t="n"/>
      <c r="K14" s="6" t="n"/>
      <c r="L14" s="6" t="n"/>
      <c r="M14" s="6" t="n"/>
      <c r="N14" s="6" t="n"/>
      <c r="O14" s="6" t="n"/>
      <c r="P14" s="6" t="n"/>
      <c r="Q14" s="6" t="n"/>
      <c r="R14" s="6" t="n"/>
      <c r="S14" s="6" t="n"/>
      <c r="T14" s="6" t="n"/>
      <c r="U14" s="6" t="n"/>
    </row>
    <row r="15" ht="19.5" customHeight="1">
      <c r="B15" s="11" t="inlineStr">
        <is>
          <t>2T-22</t>
        </is>
      </c>
      <c r="C15" s="71" t="n">
        <v>24310024.3</v>
      </c>
      <c r="D15" s="37">
        <f>C15/C11-1</f>
        <v/>
      </c>
      <c r="E15" s="6" t="n"/>
      <c r="F15" s="6" t="n"/>
      <c r="G15" s="6" t="n"/>
      <c r="H15" s="6" t="n"/>
      <c r="I15" s="6" t="n"/>
      <c r="J15" s="6" t="n"/>
      <c r="K15" s="6" t="n"/>
      <c r="L15" s="6" t="n"/>
      <c r="M15" s="6" t="n"/>
      <c r="N15" s="6" t="n"/>
      <c r="O15" s="6" t="n"/>
      <c r="P15" s="6" t="n"/>
      <c r="Q15" s="6" t="n"/>
      <c r="R15" s="6" t="n"/>
      <c r="S15" s="6" t="n"/>
      <c r="T15" s="6" t="n"/>
      <c r="U15" s="6" t="n"/>
    </row>
    <row r="16" ht="19.5" customHeight="1">
      <c r="B16" s="11" t="inlineStr">
        <is>
          <t>3T-22</t>
        </is>
      </c>
      <c r="C16" s="71" t="n">
        <v>24289379.5</v>
      </c>
      <c r="D16" s="37">
        <f>C16/C12-1</f>
        <v/>
      </c>
      <c r="E16" s="6" t="n"/>
      <c r="F16" s="6" t="n"/>
      <c r="G16" s="6" t="n"/>
      <c r="H16" s="6" t="n"/>
      <c r="I16" s="6" t="n"/>
      <c r="J16" s="6" t="n"/>
      <c r="K16" s="6" t="n"/>
      <c r="L16" s="6" t="n"/>
      <c r="M16" s="6" t="n"/>
      <c r="N16" s="6" t="n"/>
      <c r="O16" s="6" t="n"/>
      <c r="P16" s="6" t="n"/>
      <c r="Q16" s="6" t="n"/>
      <c r="R16" s="6" t="n"/>
      <c r="S16" s="6" t="n"/>
      <c r="T16" s="6" t="n"/>
      <c r="U16" s="6" t="n"/>
    </row>
    <row r="17" ht="19.5" customHeight="1">
      <c r="B17" s="11" t="inlineStr">
        <is>
          <t>4T-22</t>
        </is>
      </c>
      <c r="C17" s="71" t="n">
        <v>25052395.8</v>
      </c>
      <c r="D17" s="37">
        <f>C17/C13-1</f>
        <v/>
      </c>
      <c r="E17" s="6" t="n"/>
      <c r="F17" s="6" t="n"/>
      <c r="G17" s="6" t="n"/>
      <c r="H17" s="6" t="n"/>
      <c r="I17" s="6" t="n"/>
      <c r="J17" s="6" t="n"/>
      <c r="K17" s="6" t="n"/>
      <c r="L17" s="6" t="n"/>
      <c r="M17" s="6" t="n"/>
      <c r="N17" s="6" t="n"/>
      <c r="O17" s="6" t="n"/>
      <c r="P17" s="6" t="n"/>
      <c r="Q17" s="6" t="n"/>
      <c r="R17" s="6" t="n"/>
      <c r="S17" s="6" t="n"/>
      <c r="T17" s="6" t="n"/>
      <c r="U17" s="6" t="n"/>
    </row>
    <row r="18" ht="19.5" customHeight="1">
      <c r="B18" s="11" t="inlineStr">
        <is>
          <t>1T-23 R</t>
        </is>
      </c>
      <c r="C18" s="71" t="n">
        <v>24330982.5</v>
      </c>
      <c r="D18" s="37">
        <f>C18/C14-1</f>
        <v/>
      </c>
      <c r="E18" s="6" t="n"/>
      <c r="F18" s="6" t="n"/>
      <c r="G18" s="6" t="n"/>
      <c r="H18" s="6" t="n"/>
      <c r="I18" s="6" t="n"/>
      <c r="J18" s="6" t="n"/>
      <c r="K18" s="6" t="n"/>
      <c r="L18" s="6" t="n"/>
      <c r="M18" s="6" t="n"/>
      <c r="N18" s="6" t="n"/>
      <c r="O18" s="6" t="n"/>
      <c r="P18" s="6" t="n"/>
      <c r="Q18" s="6" t="n"/>
      <c r="R18" s="6" t="n"/>
      <c r="S18" s="6" t="n"/>
      <c r="T18" s="6" t="n"/>
      <c r="U18" s="6" t="n"/>
    </row>
    <row r="19" ht="19.5" customHeight="1">
      <c r="B19" s="11" t="inlineStr">
        <is>
          <t>2T-23 R</t>
        </is>
      </c>
      <c r="C19" s="71" t="n">
        <v>25108268.2</v>
      </c>
      <c r="D19" s="37">
        <f>C19/C15-1</f>
        <v/>
      </c>
      <c r="E19" s="6" t="n"/>
      <c r="F19" s="6" t="n"/>
      <c r="G19" s="6" t="n"/>
      <c r="H19" s="6" t="n"/>
      <c r="I19" s="6" t="n"/>
      <c r="J19" s="6" t="n"/>
      <c r="K19" s="6" t="n"/>
      <c r="L19" s="6" t="n"/>
      <c r="M19" s="6" t="n"/>
      <c r="N19" s="6" t="n"/>
      <c r="O19" s="6" t="n"/>
      <c r="P19" s="6" t="n"/>
      <c r="Q19" s="6" t="n"/>
      <c r="R19" s="6" t="n"/>
      <c r="S19" s="6" t="n"/>
      <c r="T19" s="6" t="n"/>
      <c r="U19" s="6" t="n"/>
    </row>
    <row r="20" ht="19.5" customHeight="1">
      <c r="B20" s="11" t="inlineStr">
        <is>
          <t>3T-23 R</t>
        </is>
      </c>
      <c r="C20" s="71" t="n">
        <v>25094793.1</v>
      </c>
      <c r="D20" s="37">
        <f>C20/C16-1</f>
        <v/>
      </c>
      <c r="E20" s="6" t="n"/>
      <c r="F20" s="6" t="n"/>
      <c r="G20" s="6" t="n"/>
      <c r="H20" s="6" t="n"/>
      <c r="I20" s="6" t="n"/>
      <c r="J20" s="6" t="n"/>
      <c r="K20" s="6" t="n"/>
      <c r="L20" s="6" t="n"/>
      <c r="M20" s="6" t="n"/>
      <c r="N20" s="6" t="n"/>
      <c r="O20" s="6" t="n"/>
      <c r="P20" s="6" t="n"/>
      <c r="Q20" s="6" t="n"/>
      <c r="R20" s="6" t="n"/>
      <c r="S20" s="6" t="n"/>
      <c r="T20" s="6" t="n"/>
      <c r="U20" s="6" t="n"/>
    </row>
    <row r="21" ht="19.5" customHeight="1">
      <c r="B21" s="11" t="inlineStr">
        <is>
          <t>4T-23 R</t>
        </is>
      </c>
      <c r="C21" s="71" t="n">
        <v>25590082.6</v>
      </c>
      <c r="D21" s="37">
        <f>C21/C17-1</f>
        <v/>
      </c>
      <c r="E21" s="6" t="n"/>
      <c r="F21" s="6" t="n"/>
      <c r="G21" s="6" t="n"/>
      <c r="H21" s="6" t="n"/>
      <c r="I21" s="6" t="n"/>
      <c r="J21" s="6" t="n"/>
      <c r="K21" s="6" t="n"/>
      <c r="L21" s="6" t="n"/>
      <c r="M21" s="6" t="n"/>
      <c r="N21" s="6" t="n"/>
      <c r="O21" s="6" t="n"/>
      <c r="P21" s="6" t="n"/>
      <c r="Q21" s="6" t="n"/>
      <c r="R21" s="6" t="n"/>
      <c r="S21" s="6" t="n"/>
      <c r="T21" s="6" t="n"/>
      <c r="U21" s="6" t="n"/>
    </row>
    <row r="22" ht="19.5" customHeight="1">
      <c r="B22" s="11" t="inlineStr">
        <is>
          <t>1T-24 R</t>
        </is>
      </c>
      <c r="C22" s="71" t="n">
        <v>24761655.5</v>
      </c>
      <c r="D22" s="37">
        <f>C22/C18-1</f>
        <v/>
      </c>
      <c r="E22" s="6" t="n"/>
      <c r="F22" s="6" t="n"/>
      <c r="G22" s="6" t="n"/>
      <c r="H22" s="6" t="n"/>
      <c r="I22" s="6" t="n"/>
      <c r="J22" s="6" t="n"/>
      <c r="K22" s="6" t="n"/>
      <c r="L22" s="6" t="n"/>
      <c r="M22" s="6" t="n"/>
      <c r="N22" s="6" t="n"/>
      <c r="O22" s="6" t="n"/>
      <c r="P22" s="6" t="n"/>
      <c r="Q22" s="6" t="n"/>
      <c r="R22" s="6" t="n"/>
      <c r="S22" s="6" t="n"/>
      <c r="T22" s="6" t="n"/>
      <c r="U22" s="6" t="n"/>
    </row>
    <row r="23" ht="19.5" customHeight="1">
      <c r="B23" s="11" t="inlineStr">
        <is>
          <t>2T-24 R</t>
        </is>
      </c>
      <c r="C23" s="71" t="n">
        <v>25655479</v>
      </c>
      <c r="D23" s="37">
        <f>C23/C19-1</f>
        <v/>
      </c>
      <c r="E23" s="6" t="n"/>
      <c r="F23" s="6" t="n"/>
      <c r="G23" s="6" t="n"/>
      <c r="H23" s="6" t="n"/>
      <c r="I23" s="6" t="n"/>
      <c r="J23" s="6" t="n"/>
      <c r="K23" s="6" t="n"/>
      <c r="L23" s="6" t="n"/>
      <c r="M23" s="6" t="n"/>
      <c r="N23" s="6" t="n"/>
      <c r="O23" s="6" t="n"/>
      <c r="P23" s="6" t="n"/>
      <c r="Q23" s="6" t="n"/>
      <c r="R23" s="6" t="n"/>
      <c r="S23" s="6" t="n"/>
      <c r="T23" s="6" t="n"/>
      <c r="U23" s="6" t="n"/>
    </row>
    <row r="24" ht="19.5" customHeight="1">
      <c r="B24" s="11" t="inlineStr">
        <is>
          <t>3T-24 R</t>
        </is>
      </c>
      <c r="C24" s="71" t="n">
        <v>25475446.4</v>
      </c>
      <c r="D24" s="37">
        <f>C24/C20-1</f>
        <v/>
      </c>
      <c r="E24" s="6" t="n"/>
      <c r="F24" s="6" t="n"/>
      <c r="G24" s="6" t="n"/>
      <c r="H24" s="6" t="n"/>
      <c r="I24" s="6" t="n"/>
      <c r="J24" s="6" t="n"/>
      <c r="K24" s="6" t="n"/>
      <c r="L24" s="6" t="n"/>
      <c r="M24" s="6" t="n"/>
      <c r="N24" s="6" t="n"/>
      <c r="O24" s="6" t="n"/>
      <c r="P24" s="6" t="n"/>
      <c r="Q24" s="6" t="n"/>
      <c r="R24" s="6" t="n"/>
      <c r="S24" s="6" t="n"/>
      <c r="T24" s="6" t="n"/>
      <c r="U24" s="6" t="n"/>
    </row>
    <row r="25" ht="19.5" customHeight="1">
      <c r="B25" s="11" t="inlineStr">
        <is>
          <t>4T-24 R</t>
        </is>
      </c>
      <c r="C25" s="71" t="n">
        <v>25693293</v>
      </c>
      <c r="D25" s="37">
        <f>C25/C21-1</f>
        <v/>
      </c>
      <c r="E25" s="6" t="n"/>
      <c r="F25" s="6" t="n"/>
      <c r="G25" s="6" t="n"/>
      <c r="H25" s="6" t="n"/>
      <c r="I25" s="6" t="n"/>
      <c r="J25" s="6" t="n"/>
      <c r="K25" s="6" t="n"/>
      <c r="L25" s="6" t="n"/>
      <c r="M25" s="6" t="n"/>
      <c r="N25" s="6" t="n"/>
      <c r="O25" s="6" t="n"/>
      <c r="P25" s="6" t="n"/>
      <c r="Q25" s="6" t="n"/>
      <c r="R25" s="6" t="n"/>
      <c r="S25" s="6" t="n"/>
      <c r="T25" s="6" t="n"/>
      <c r="U25" s="6" t="n"/>
    </row>
    <row r="26" ht="19.5" customHeight="1">
      <c r="B26" s="11" t="inlineStr">
        <is>
          <t>1T-25 R</t>
        </is>
      </c>
      <c r="C26" s="71" t="n">
        <v>24913610.3</v>
      </c>
      <c r="D26" s="37">
        <f>C26/C22-1</f>
        <v/>
      </c>
      <c r="E26" s="6" t="n"/>
      <c r="F26" s="6" t="n"/>
      <c r="G26" s="6" t="n"/>
      <c r="H26" s="6" t="n"/>
      <c r="I26" s="6" t="n"/>
      <c r="J26" s="6" t="n"/>
      <c r="K26" s="6" t="n"/>
      <c r="L26" s="6" t="n"/>
      <c r="M26" s="6" t="n"/>
      <c r="N26" s="6" t="n"/>
      <c r="O26" s="6" t="n"/>
      <c r="P26" s="6" t="n"/>
      <c r="Q26" s="6" t="n"/>
      <c r="R26" s="6" t="n"/>
      <c r="S26" s="6" t="n"/>
      <c r="T26" s="6" t="n"/>
      <c r="U26" s="6" t="n"/>
    </row>
    <row r="27" ht="19.5" customHeight="1">
      <c r="B27" s="11" t="inlineStr">
        <is>
          <t>2T-25 R</t>
        </is>
      </c>
      <c r="C27" s="71" t="n">
        <v>25618678.8</v>
      </c>
      <c r="D27" s="37">
        <f>C27/C23-1</f>
        <v/>
      </c>
      <c r="E27" s="6" t="n"/>
      <c r="F27" s="6" t="n"/>
      <c r="G27" s="6" t="n"/>
      <c r="H27" s="6" t="n"/>
      <c r="I27" s="6" t="n"/>
      <c r="J27" s="6" t="n"/>
      <c r="K27" s="6" t="n"/>
      <c r="L27" s="6" t="n"/>
      <c r="M27" s="6" t="n"/>
      <c r="N27" s="6" t="n"/>
      <c r="O27" s="6" t="n"/>
      <c r="P27" s="6" t="n"/>
      <c r="Q27" s="6" t="n"/>
      <c r="R27" s="6" t="n"/>
      <c r="S27" s="6" t="n"/>
      <c r="T27" s="6" t="n"/>
      <c r="U27" s="6" t="n"/>
    </row>
    <row r="28" ht="19.5" customHeight="1">
      <c r="B28" s="11" t="inlineStr">
        <is>
          <t>3T-25 R</t>
        </is>
      </c>
      <c r="C28" s="71" t="n">
        <v>25422850.2</v>
      </c>
      <c r="D28" s="37">
        <f>C28/C24-1</f>
        <v/>
      </c>
      <c r="E28" s="6" t="n"/>
      <c r="F28" s="6" t="n"/>
      <c r="G28" s="6" t="n"/>
      <c r="H28" s="6" t="n"/>
      <c r="I28" s="6" t="n"/>
      <c r="J28" s="6" t="n"/>
      <c r="K28" s="6" t="n"/>
      <c r="L28" s="6" t="n"/>
      <c r="M28" s="6" t="n"/>
      <c r="N28" s="6" t="n"/>
      <c r="O28" s="6" t="n"/>
      <c r="P28" s="6" t="n"/>
      <c r="Q28" s="6" t="n"/>
      <c r="R28" s="6" t="n"/>
      <c r="S28" s="6" t="n"/>
      <c r="T28" s="6" t="n"/>
      <c r="U28" s="6" t="n"/>
    </row>
    <row r="29" ht="19.5" customHeight="1">
      <c r="B29" s="11" t="inlineStr">
        <is>
          <t>4T-25 R</t>
        </is>
      </c>
      <c r="C29" s="71" t="n">
        <v>26135644.7</v>
      </c>
      <c r="D29" s="37">
        <f>C29/C25-1</f>
        <v/>
      </c>
      <c r="E29" s="6" t="n"/>
      <c r="F29" s="6" t="n"/>
      <c r="G29" s="6" t="n"/>
      <c r="H29" s="6" t="n"/>
      <c r="I29" s="6" t="n"/>
      <c r="J29" s="6" t="n"/>
      <c r="K29" s="6" t="n"/>
      <c r="L29" s="6" t="n"/>
      <c r="M29" s="6" t="n"/>
      <c r="N29" s="6" t="n"/>
      <c r="O29" s="6" t="n"/>
      <c r="P29" s="6" t="n"/>
      <c r="Q29" s="6" t="n"/>
      <c r="R29" s="6" t="n"/>
      <c r="S29" s="6" t="n"/>
      <c r="T29" s="6" t="n"/>
      <c r="U29" s="6" t="n"/>
    </row>
    <row r="30" ht="19.5" customHeight="1">
      <c r="B30" s="11" t="inlineStr">
        <is>
          <t>1T-26 P</t>
        </is>
      </c>
      <c r="C30" s="71" t="n">
        <v>24973976.1</v>
      </c>
      <c r="D30" s="37">
        <f>C30/C26-1</f>
        <v/>
      </c>
      <c r="E30" s="6" t="n"/>
      <c r="F30" s="6" t="n"/>
      <c r="G30" s="6" t="n"/>
      <c r="H30" s="6" t="n"/>
      <c r="I30" s="6" t="n"/>
      <c r="J30" s="6" t="n"/>
      <c r="K30" s="6" t="n"/>
      <c r="L30" s="6" t="n"/>
      <c r="M30" s="6" t="n"/>
      <c r="N30" s="6" t="n"/>
      <c r="O30" s="6" t="n"/>
      <c r="P30" s="6" t="n"/>
      <c r="Q30" s="6" t="n"/>
      <c r="R30" s="6" t="n"/>
      <c r="S30" s="6" t="n"/>
      <c r="T30" s="6" t="n"/>
      <c r="U30" s="6" t="n"/>
    </row>
    <row r="31" ht="19.5" customHeight="1">
      <c r="B31" s="6" t="n"/>
      <c r="C31" s="6" t="n"/>
      <c r="D31" s="6" t="n"/>
      <c r="E31" s="6" t="n"/>
      <c r="F31" s="6" t="n"/>
      <c r="G31" s="6" t="n"/>
      <c r="H31" s="6" t="n"/>
      <c r="I31" s="6" t="n"/>
      <c r="J31" s="6" t="n"/>
      <c r="K31" s="6" t="n"/>
      <c r="L31" s="6" t="n"/>
      <c r="M31" s="6" t="n"/>
      <c r="N31" s="6" t="n"/>
      <c r="O31" s="6" t="n"/>
      <c r="P31" s="6" t="n"/>
      <c r="Q31" s="6" t="n"/>
      <c r="R31" s="6" t="n"/>
      <c r="S31" s="6" t="n"/>
      <c r="T31" s="6" t="n"/>
      <c r="U31" s="6" t="n"/>
    </row>
    <row r="32" ht="19.5" customHeight="1">
      <c r="B32" s="25" t="inlineStr">
        <is>
          <t>R = Cifras revisadas</t>
        </is>
      </c>
      <c r="C32" s="6" t="n"/>
      <c r="D32" s="6" t="n"/>
      <c r="E32" s="6" t="n"/>
      <c r="F32" s="6" t="n"/>
      <c r="G32" s="6" t="n"/>
      <c r="H32" s="6" t="n"/>
      <c r="I32" s="6" t="n"/>
      <c r="J32" s="6" t="n"/>
      <c r="K32" s="6" t="n"/>
      <c r="L32" s="6" t="n"/>
      <c r="M32" s="6" t="n"/>
      <c r="N32" s="6" t="n"/>
      <c r="O32" s="6" t="n"/>
      <c r="P32" s="6" t="n"/>
      <c r="Q32" s="6" t="n"/>
      <c r="R32" s="6" t="n"/>
      <c r="S32" s="6" t="n"/>
      <c r="T32" s="6" t="n"/>
      <c r="U32" s="6" t="n"/>
    </row>
    <row r="33" ht="19.5" customHeight="1">
      <c r="B33" s="25" t="inlineStr">
        <is>
          <t>P = Cifras preliminares</t>
        </is>
      </c>
      <c r="C33" s="6" t="n"/>
      <c r="D33" s="6" t="n"/>
      <c r="E33" s="6" t="n"/>
      <c r="F33" s="6" t="n"/>
      <c r="G33" s="6" t="n"/>
      <c r="H33" s="6" t="n"/>
      <c r="I33" s="6" t="n"/>
      <c r="J33" s="6" t="n"/>
      <c r="K33" s="6" t="n"/>
      <c r="L33" s="6" t="n"/>
      <c r="M33" s="6" t="n"/>
      <c r="N33" s="6" t="n"/>
      <c r="O33" s="6" t="n"/>
      <c r="P33" s="6" t="n"/>
      <c r="Q33" s="6" t="n"/>
      <c r="R33" s="6" t="n"/>
      <c r="S33" s="6" t="n"/>
      <c r="T33" s="6" t="n"/>
      <c r="U33" s="6" t="n"/>
    </row>
    <row r="34" ht="19.5" customHeight="1">
      <c r="B34" s="6" t="n"/>
      <c r="C34" s="6" t="n"/>
      <c r="D34" s="6" t="n"/>
      <c r="E34" s="6" t="n"/>
      <c r="F34" s="6" t="n"/>
      <c r="G34" s="6" t="n"/>
      <c r="H34" s="6" t="n"/>
      <c r="I34" s="6" t="n"/>
      <c r="J34" s="6" t="n"/>
      <c r="K34" s="6" t="n"/>
      <c r="L34" s="6" t="n"/>
      <c r="M34" s="6" t="n"/>
      <c r="N34" s="6" t="n"/>
      <c r="O34" s="6" t="n"/>
      <c r="P34" s="6" t="n"/>
      <c r="Q34" s="6" t="n"/>
      <c r="R34" s="6" t="n"/>
      <c r="S34" s="6" t="n"/>
      <c r="T34" s="6" t="n"/>
      <c r="U34" s="6" t="n"/>
    </row>
  </sheetData>
  <mergeCells count="6">
    <mergeCell ref="C3:P3"/>
    <mergeCell ref="C4:P4"/>
    <mergeCell ref="C6:P6"/>
    <mergeCell ref="C7:P7"/>
    <mergeCell ref="C2:P2"/>
    <mergeCell ref="C5:P5"/>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V25"/>
  <sheetViews>
    <sheetView topLeftCell="C7" workbookViewId="0">
      <selection activeCell="F28" sqref="F28"/>
    </sheetView>
  </sheetViews>
  <sheetFormatPr baseColWidth="10" defaultRowHeight="15"/>
  <cols>
    <col width="5.7109375" customWidth="1" min="1" max="1"/>
    <col width="15.7109375" customWidth="1" min="2" max="2"/>
    <col width="12" bestFit="1" customWidth="1" min="3" max="3"/>
    <col width="14.42578125" customWidth="1" min="4" max="4"/>
    <col width="12.42578125" bestFit="1" customWidth="1" min="5" max="5"/>
    <col width="12" bestFit="1" customWidth="1" min="6" max="6"/>
    <col width="5.7109375" customWidth="1" min="7" max="7"/>
    <col width="12.28515625" bestFit="1" customWidth="1" min="8" max="22"/>
  </cols>
  <sheetData>
    <row r="2" ht="20.1" customHeight="1">
      <c r="B2" s="18" t="inlineStr">
        <is>
          <t xml:space="preserve">Nombre </t>
        </is>
      </c>
      <c r="C2" s="41" t="inlineStr">
        <is>
          <t>Producto Interno Bruto por actividad económica</t>
        </is>
      </c>
      <c r="D2" s="67" t="n"/>
      <c r="E2" s="67" t="n"/>
      <c r="F2" s="67" t="n"/>
      <c r="G2" s="67" t="n"/>
      <c r="H2" s="67" t="n"/>
      <c r="I2" s="67" t="n"/>
      <c r="J2" s="67" t="n"/>
      <c r="K2" s="67" t="n"/>
      <c r="L2" s="67" t="n"/>
      <c r="M2" s="67" t="n"/>
      <c r="N2" s="67" t="n"/>
      <c r="O2" s="68" t="n"/>
    </row>
    <row r="3" ht="39.95" customHeight="1">
      <c r="B3" s="18" t="inlineStr">
        <is>
          <t>Descripción</t>
        </is>
      </c>
      <c r="C3" s="69" t="inlineStr">
        <is>
          <t xml:space="preserve">Permite analizar la contribución específica de cada sector al valor agregado total de la economía mexicana. Es fundamental para entender la estructura productiva del país y cómo evoluciona con el tiempo. </t>
        </is>
      </c>
      <c r="D3" s="67" t="n"/>
      <c r="E3" s="67" t="n"/>
      <c r="F3" s="67" t="n"/>
      <c r="G3" s="67" t="n"/>
      <c r="H3" s="67" t="n"/>
      <c r="I3" s="67" t="n"/>
      <c r="J3" s="67" t="n"/>
      <c r="K3" s="67" t="n"/>
      <c r="L3" s="67" t="n"/>
      <c r="M3" s="67" t="n"/>
      <c r="N3" s="67" t="n"/>
      <c r="O3" s="68" t="n"/>
    </row>
    <row r="4" ht="20.1" customHeight="1">
      <c r="B4" s="18" t="inlineStr">
        <is>
          <t>Frecuencia</t>
        </is>
      </c>
      <c r="C4" s="41" t="inlineStr">
        <is>
          <t>Trimestral</t>
        </is>
      </c>
      <c r="D4" s="67" t="n"/>
      <c r="E4" s="67" t="n"/>
      <c r="F4" s="67" t="n"/>
      <c r="G4" s="67" t="n"/>
      <c r="H4" s="67" t="n"/>
      <c r="I4" s="67" t="n"/>
      <c r="J4" s="67" t="n"/>
      <c r="K4" s="67" t="n"/>
      <c r="L4" s="67" t="n"/>
      <c r="M4" s="67" t="n"/>
      <c r="N4" s="67" t="n"/>
      <c r="O4" s="68" t="n"/>
    </row>
    <row r="5" ht="20.1" customHeight="1">
      <c r="B5" s="18" t="inlineStr">
        <is>
          <t>Publicación</t>
        </is>
      </c>
      <c r="C5" s="41" t="inlineStr">
        <is>
          <t>Aproximadamente 50 días después de haber concluido el trimestre</t>
        </is>
      </c>
      <c r="D5" s="67" t="n"/>
      <c r="E5" s="67" t="n"/>
      <c r="F5" s="67" t="n"/>
      <c r="G5" s="67" t="n"/>
      <c r="H5" s="67" t="n"/>
      <c r="I5" s="67" t="n"/>
      <c r="J5" s="67" t="n"/>
      <c r="K5" s="67" t="n"/>
      <c r="L5" s="67" t="n"/>
      <c r="M5" s="67" t="n"/>
      <c r="N5" s="67" t="n"/>
      <c r="O5" s="67" t="n"/>
      <c r="P5" s="68" t="n"/>
    </row>
    <row r="6" ht="20.1" customHeight="1">
      <c r="B6" s="18" t="inlineStr">
        <is>
          <t>Próximo dato</t>
        </is>
      </c>
      <c r="C6" s="41" t="inlineStr">
        <is>
          <t>Finales de junio (oportuno); finales de agosto (definitivo)</t>
        </is>
      </c>
      <c r="D6" s="67" t="n"/>
      <c r="E6" s="67" t="n"/>
      <c r="F6" s="67" t="n"/>
      <c r="G6" s="67" t="n"/>
      <c r="H6" s="67" t="n"/>
      <c r="I6" s="67" t="n"/>
      <c r="J6" s="67" t="n"/>
      <c r="K6" s="67" t="n"/>
      <c r="L6" s="67" t="n"/>
      <c r="M6" s="67" t="n"/>
      <c r="N6" s="67" t="n"/>
      <c r="O6" s="67" t="n"/>
      <c r="P6" s="68" t="n"/>
    </row>
    <row r="7" ht="39.95" customHeight="1">
      <c r="B7" s="19" t="inlineStr">
        <is>
          <t>Fuente</t>
        </is>
      </c>
      <c r="C7" s="43" t="inlineStr">
        <is>
          <t>INEGI 
https://www.inegi.org.mx/temas/pib/#informacion_general</t>
        </is>
      </c>
      <c r="D7" s="70" t="n"/>
      <c r="E7" s="70" t="n"/>
      <c r="F7" s="70" t="n"/>
      <c r="G7" s="70" t="n"/>
      <c r="H7" s="70" t="n"/>
      <c r="I7" s="70" t="n"/>
      <c r="J7" s="70" t="n"/>
      <c r="K7" s="70" t="n"/>
      <c r="L7" s="70" t="n"/>
      <c r="M7" s="70" t="n"/>
      <c r="N7" s="70" t="n"/>
      <c r="O7" s="70" t="n"/>
    </row>
    <row r="8" ht="20.1" customHeight="1">
      <c r="B8" s="6" t="n"/>
      <c r="C8" s="6" t="n"/>
      <c r="D8" s="6" t="n"/>
      <c r="E8" s="6" t="n"/>
      <c r="F8" s="6" t="n"/>
      <c r="G8" s="6" t="n"/>
      <c r="H8" s="6" t="n"/>
      <c r="I8" s="6" t="n"/>
      <c r="J8" s="6" t="n"/>
      <c r="K8" s="6" t="n"/>
      <c r="L8" s="6" t="n"/>
      <c r="M8" s="6" t="n"/>
      <c r="N8" s="6" t="n"/>
      <c r="O8" s="6" t="n"/>
      <c r="P8" s="6" t="n"/>
      <c r="Q8" s="6" t="n"/>
      <c r="R8" s="6" t="n"/>
      <c r="S8" s="6" t="n"/>
      <c r="T8" s="6" t="n"/>
      <c r="U8" s="6" t="n"/>
      <c r="V8" s="6" t="n"/>
    </row>
    <row r="9" ht="34.5" customHeight="1">
      <c r="B9" s="10" t="inlineStr">
        <is>
          <t>Periodo</t>
        </is>
      </c>
      <c r="C9" s="8" t="inlineStr">
        <is>
          <t>Primarias</t>
        </is>
      </c>
      <c r="D9" s="8" t="inlineStr">
        <is>
          <t>Secundarias</t>
        </is>
      </c>
      <c r="E9" s="8" t="inlineStr">
        <is>
          <t>Terciarias</t>
        </is>
      </c>
      <c r="F9" s="10" t="inlineStr">
        <is>
          <t>Var. Trim. Terc.</t>
        </is>
      </c>
      <c r="G9" s="6" t="n"/>
      <c r="H9" s="6" t="n"/>
      <c r="N9" s="6" t="n"/>
      <c r="O9" s="6" t="n"/>
      <c r="P9" s="6" t="n"/>
    </row>
    <row r="10" ht="19.5" customHeight="1">
      <c r="B10" s="11" t="inlineStr">
        <is>
          <t>1T-25 P</t>
        </is>
      </c>
      <c r="C10" s="71" t="n">
        <v>835925.6</v>
      </c>
      <c r="D10" s="71" t="n">
        <v>7884149.8</v>
      </c>
      <c r="E10" s="72" t="n">
        <v>14688940.9</v>
      </c>
      <c r="F10" s="33">
        <f>0.6/100</f>
        <v/>
      </c>
      <c r="G10" s="6" t="n"/>
      <c r="H10" s="6" t="n"/>
      <c r="N10" s="6" t="n"/>
      <c r="O10" s="6" t="n"/>
      <c r="P10" s="6" t="n"/>
    </row>
    <row r="11" ht="19.5" customHeight="1">
      <c r="B11" s="11" t="inlineStr">
        <is>
          <t>2T-25 P</t>
        </is>
      </c>
      <c r="C11" s="71" t="n">
        <v>836799.6</v>
      </c>
      <c r="D11" s="71" t="n">
        <v>7943263.3</v>
      </c>
      <c r="E11" s="72" t="n">
        <v>14820043.5</v>
      </c>
      <c r="F11" s="33">
        <f>0.8/100</f>
        <v/>
      </c>
      <c r="G11" s="6" t="n"/>
      <c r="H11" s="6" t="n"/>
      <c r="N11" s="6" t="n"/>
      <c r="O11" s="6" t="n"/>
      <c r="P11" s="6" t="n"/>
    </row>
    <row r="12" ht="19.5" customHeight="1">
      <c r="B12" s="11" t="inlineStr">
        <is>
          <t>3T-25 P</t>
        </is>
      </c>
      <c r="C12" s="71" t="n">
        <v>819095.7</v>
      </c>
      <c r="D12" s="71" t="n">
        <v>8016288.3</v>
      </c>
      <c r="E12" s="72" t="n">
        <v>14946803</v>
      </c>
      <c r="F12" s="33">
        <f>0.8/100</f>
        <v/>
      </c>
      <c r="G12" s="6" t="n"/>
      <c r="H12" s="6" t="n"/>
      <c r="N12" s="6" t="n"/>
      <c r="O12" s="6" t="n"/>
      <c r="P12" s="6" t="n"/>
    </row>
    <row r="13" ht="19.5" customHeight="1">
      <c r="B13" s="11" t="inlineStr">
        <is>
          <t>4T-25 P</t>
        </is>
      </c>
      <c r="C13" s="71" t="n">
        <v>831686.6</v>
      </c>
      <c r="D13" s="71" t="n">
        <v>8010952.1</v>
      </c>
      <c r="E13" s="72" t="n">
        <v>14960367.9</v>
      </c>
      <c r="F13" s="33">
        <f>0/100</f>
        <v/>
      </c>
      <c r="G13" s="6" t="n"/>
      <c r="H13" s="6" t="n"/>
      <c r="N13" s="6" t="n"/>
      <c r="O13" s="6" t="n"/>
      <c r="P13" s="6" t="n"/>
    </row>
    <row r="14" ht="19.5" customHeight="1">
      <c r="B14" s="11" t="inlineStr">
        <is>
          <t>1T-25 P</t>
        </is>
      </c>
      <c r="C14" s="71" t="n">
        <v>827043</v>
      </c>
      <c r="D14" s="71" t="n">
        <v>7940140.6</v>
      </c>
      <c r="E14" s="72" t="n">
        <v>15131051.2</v>
      </c>
      <c r="F14" s="33">
        <f>0.6/100</f>
        <v/>
      </c>
      <c r="G14" s="6" t="n"/>
      <c r="H14" s="6" t="n"/>
      <c r="N14" s="6" t="n"/>
      <c r="O14" s="6" t="n"/>
      <c r="P14" s="6" t="n"/>
    </row>
    <row r="15" ht="19.5" customHeight="1">
      <c r="B15" s="11" t="inlineStr">
        <is>
          <t>2T-25 P</t>
        </is>
      </c>
      <c r="C15" s="71" t="n">
        <v>842252.6</v>
      </c>
      <c r="D15" s="71" t="n">
        <v>7876382</v>
      </c>
      <c r="E15" s="72" t="n">
        <v>15155060</v>
      </c>
      <c r="F15" s="33">
        <f>0/100</f>
        <v/>
      </c>
      <c r="G15" s="6" t="n"/>
      <c r="H15" s="6" t="n"/>
      <c r="N15" s="6" t="n"/>
      <c r="O15" s="6" t="n"/>
      <c r="P15" s="6" t="n"/>
    </row>
    <row r="16" ht="19.5" customHeight="1">
      <c r="B16" s="11" t="inlineStr">
        <is>
          <t>3T-25 P</t>
        </is>
      </c>
      <c r="C16" s="71" t="n">
        <v>871472.5</v>
      </c>
      <c r="D16" s="71" t="n">
        <v>7979123.7</v>
      </c>
      <c r="E16" s="72" t="n">
        <v>15281727.3</v>
      </c>
      <c r="F16" s="33">
        <f>1.1/100</f>
        <v/>
      </c>
      <c r="G16" s="6" t="n"/>
      <c r="H16" s="6" t="n"/>
      <c r="N16" s="6" t="n"/>
      <c r="O16" s="6" t="n"/>
      <c r="P16" s="6" t="n"/>
    </row>
    <row r="17" ht="19.5" customHeight="1">
      <c r="B17" s="11" t="inlineStr">
        <is>
          <t>4T-25 P</t>
        </is>
      </c>
      <c r="C17" s="71" t="n">
        <v>813692.8</v>
      </c>
      <c r="D17" s="71" t="n">
        <v>7807342.1</v>
      </c>
      <c r="E17" s="72" t="n">
        <v>15253152.9</v>
      </c>
      <c r="F17" s="33">
        <f>-1.1/100</f>
        <v/>
      </c>
      <c r="G17" s="6" t="n"/>
      <c r="H17" s="6" t="n"/>
      <c r="N17" s="6" t="n"/>
      <c r="O17" s="6" t="n"/>
      <c r="P17" s="6" t="n"/>
    </row>
    <row r="18" ht="19.5" customHeight="1">
      <c r="B18" s="11" t="inlineStr">
        <is>
          <t>1T-25 P</t>
        </is>
      </c>
      <c r="C18" s="71" t="n">
        <v>854504.32127079</v>
      </c>
      <c r="D18" s="71" t="n">
        <v>7833621.03455699</v>
      </c>
      <c r="E18" s="72" t="n">
        <v>15316101.403228</v>
      </c>
      <c r="F18" s="33">
        <f>0.6/100</f>
        <v/>
      </c>
      <c r="G18" s="73" t="n"/>
      <c r="H18" s="6" t="n"/>
      <c r="N18" s="6" t="n"/>
      <c r="O18" s="6" t="n"/>
      <c r="P18" s="6" t="n"/>
    </row>
    <row r="19" ht="19.5" customHeight="1">
      <c r="B19" s="11" t="inlineStr">
        <is>
          <t>2T-25 P</t>
        </is>
      </c>
      <c r="C19" s="71" t="n">
        <v>836772.665548799</v>
      </c>
      <c r="D19" s="71" t="n">
        <v>7849205.98397336</v>
      </c>
      <c r="E19" s="72" t="n">
        <v>15394411.489658</v>
      </c>
      <c r="F19" s="33">
        <f>0.3/100</f>
        <v/>
      </c>
      <c r="G19" s="6" t="n"/>
      <c r="H19" s="6" t="n"/>
      <c r="N19" s="6" t="n"/>
      <c r="O19" s="6" t="n"/>
      <c r="P19" s="6" t="n"/>
    </row>
    <row r="20" ht="19.5" customHeight="1">
      <c r="B20" s="11" t="inlineStr">
        <is>
          <t>3T-25 P</t>
        </is>
      </c>
      <c r="C20" s="71" t="n">
        <v>859287.643962977</v>
      </c>
      <c r="D20" s="71" t="n">
        <v>7780913.07920474</v>
      </c>
      <c r="E20" s="72" t="n">
        <v>15435842.6920738</v>
      </c>
      <c r="F20" s="33">
        <f>-0.1/100</f>
        <v/>
      </c>
      <c r="G20" s="6" t="n"/>
      <c r="H20" s="6" t="n"/>
      <c r="N20" s="6" t="n"/>
      <c r="O20" s="6" t="n"/>
      <c r="P20" s="6" t="n"/>
    </row>
    <row r="21" ht="19.5" customHeight="1">
      <c r="B21" s="11" t="inlineStr">
        <is>
          <t>4T-25 P</t>
        </is>
      </c>
      <c r="C21" s="71" t="n">
        <v>871755.018658648</v>
      </c>
      <c r="D21" s="71" t="n">
        <v>7829888.17418644</v>
      </c>
      <c r="E21" s="72" t="n">
        <v>15548365.8219927</v>
      </c>
      <c r="F21" s="33">
        <f>0.7/100</f>
        <v/>
      </c>
      <c r="G21" s="6" t="n"/>
      <c r="H21" s="6" t="n"/>
      <c r="I21" s="6" t="n"/>
      <c r="J21" s="6" t="n"/>
      <c r="K21" s="6" t="n"/>
      <c r="L21" s="6" t="n"/>
      <c r="M21" s="6" t="n"/>
      <c r="N21" s="6" t="n"/>
      <c r="O21" s="6" t="n"/>
      <c r="P21" s="6" t="n"/>
      <c r="Q21" s="6" t="n"/>
      <c r="R21" s="6" t="n"/>
      <c r="S21" s="6" t="n"/>
      <c r="T21" s="6" t="n"/>
      <c r="U21" s="6" t="n"/>
      <c r="V21" s="6" t="n"/>
    </row>
    <row r="22" ht="19.5" customHeight="1">
      <c r="B22" s="11" t="inlineStr">
        <is>
          <t>1T-26 P</t>
        </is>
      </c>
      <c r="C22" s="71" t="n">
        <v>856921.087012258</v>
      </c>
      <c r="D22" s="71" t="n">
        <v>7750175.3189237</v>
      </c>
      <c r="E22" s="72" t="n">
        <v>15490105.2001774</v>
      </c>
      <c r="F22" s="33">
        <f>-0.6/100</f>
        <v/>
      </c>
      <c r="G22" s="6" t="n"/>
      <c r="H22" s="6" t="n"/>
      <c r="I22" s="6" t="n"/>
      <c r="J22" s="6" t="n"/>
      <c r="K22" s="6" t="n"/>
      <c r="L22" s="6" t="n"/>
      <c r="M22" s="6" t="n"/>
      <c r="N22" s="6" t="n"/>
      <c r="O22" s="6" t="n"/>
      <c r="P22" s="6" t="n"/>
      <c r="Q22" s="6" t="n"/>
      <c r="R22" s="6" t="n"/>
      <c r="S22" s="6" t="n"/>
      <c r="T22" s="6" t="n"/>
      <c r="U22" s="6" t="n"/>
      <c r="V22" s="6" t="n"/>
    </row>
    <row r="23" ht="19.5" customHeight="1">
      <c r="B23" s="6" t="n"/>
      <c r="C23" s="6" t="n"/>
      <c r="D23" s="6" t="n"/>
      <c r="E23" s="6" t="n"/>
      <c r="F23" s="6" t="n"/>
      <c r="G23" s="6" t="n"/>
      <c r="H23" s="6" t="n"/>
      <c r="I23" s="6" t="n"/>
      <c r="J23" s="6" t="n"/>
      <c r="K23" s="6" t="n"/>
      <c r="L23" s="6" t="n"/>
      <c r="M23" s="6" t="n"/>
      <c r="N23" s="6" t="n"/>
      <c r="O23" s="6" t="n"/>
      <c r="P23" s="6" t="n"/>
      <c r="Q23" s="6" t="n"/>
      <c r="R23" s="6" t="n"/>
      <c r="S23" s="6" t="n"/>
      <c r="T23" s="6" t="n"/>
      <c r="U23" s="6" t="n"/>
      <c r="V23" s="6" t="n"/>
    </row>
    <row r="24" ht="19.5" customHeight="1">
      <c r="B24" s="25" t="inlineStr">
        <is>
          <t>R = Cifras revisadas</t>
        </is>
      </c>
      <c r="C24" s="6" t="n"/>
      <c r="D24" s="6" t="n"/>
      <c r="E24" s="6" t="n"/>
      <c r="F24" s="6" t="n"/>
      <c r="G24" s="6" t="n"/>
      <c r="H24" s="6" t="n"/>
      <c r="I24" s="6" t="n"/>
      <c r="J24" s="6" t="n"/>
      <c r="K24" s="6" t="n"/>
      <c r="L24" s="6" t="n"/>
      <c r="M24" s="6" t="n"/>
      <c r="N24" s="6" t="n"/>
      <c r="O24" s="6" t="n"/>
      <c r="P24" s="6" t="n"/>
      <c r="Q24" s="6" t="n"/>
      <c r="R24" s="6" t="n"/>
      <c r="S24" s="6" t="n"/>
      <c r="T24" s="6" t="n"/>
      <c r="U24" s="6" t="n"/>
      <c r="V24" s="6" t="n"/>
    </row>
    <row r="25" ht="19.5" customHeight="1">
      <c r="B25" s="25" t="inlineStr">
        <is>
          <t>P = Cifras preliminares</t>
        </is>
      </c>
      <c r="C25" s="6" t="n"/>
      <c r="D25" s="6" t="n"/>
      <c r="E25" s="6" t="n"/>
      <c r="F25" s="6" t="n"/>
      <c r="G25" s="6" t="n"/>
      <c r="H25" s="6" t="n"/>
      <c r="I25" s="6" t="n"/>
      <c r="J25" s="6" t="n"/>
      <c r="K25" s="6" t="n"/>
      <c r="L25" s="6" t="n"/>
      <c r="M25" s="6" t="n"/>
      <c r="N25" s="6" t="n"/>
      <c r="O25" s="6" t="n"/>
      <c r="P25" s="6" t="n"/>
      <c r="Q25" s="6" t="n"/>
      <c r="R25" s="6" t="n"/>
      <c r="S25" s="6" t="n"/>
      <c r="T25" s="6" t="n"/>
      <c r="U25" s="6" t="n"/>
      <c r="V25" s="6" t="n"/>
    </row>
  </sheetData>
  <mergeCells count="6">
    <mergeCell ref="C6:P6"/>
    <mergeCell ref="C4:O4"/>
    <mergeCell ref="C3:O3"/>
    <mergeCell ref="C7:O7"/>
    <mergeCell ref="C5:P5"/>
    <mergeCell ref="C2:O2"/>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X32"/>
  <sheetViews>
    <sheetView topLeftCell="A19" workbookViewId="0">
      <selection activeCell="A37" sqref="A37:XFD48"/>
    </sheetView>
  </sheetViews>
  <sheetFormatPr baseColWidth="10" defaultRowHeight="15"/>
  <cols>
    <col width="5.7109375" customWidth="1" min="1" max="1"/>
    <col width="15.7109375" customWidth="1" min="2" max="2"/>
    <col width="14.42578125" bestFit="1" customWidth="1" style="5" min="3" max="3"/>
    <col width="14" customWidth="1" min="4" max="5"/>
    <col width="5.7109375" customWidth="1" min="6" max="6"/>
    <col width="12.28515625" bestFit="1" customWidth="1" min="7" max="24"/>
  </cols>
  <sheetData>
    <row r="2" ht="20.1" customHeight="1">
      <c r="B2" s="18" t="inlineStr">
        <is>
          <t xml:space="preserve">Nombre </t>
        </is>
      </c>
      <c r="C2" s="41" t="inlineStr">
        <is>
          <t>Indicador Global de Actividad Económica (IGAE)</t>
        </is>
      </c>
      <c r="D2" s="67" t="n"/>
      <c r="E2" s="67" t="n"/>
      <c r="F2" s="67" t="n"/>
      <c r="G2" s="67" t="n"/>
      <c r="H2" s="67" t="n"/>
      <c r="I2" s="67" t="n"/>
      <c r="J2" s="67" t="n"/>
      <c r="K2" s="67" t="n"/>
      <c r="L2" s="67" t="n"/>
      <c r="M2" s="67" t="n"/>
      <c r="N2" s="67" t="n"/>
      <c r="O2" s="67" t="n"/>
      <c r="P2" s="67" t="n"/>
      <c r="Q2" s="68" t="n"/>
    </row>
    <row r="3" ht="39.95" customHeight="1">
      <c r="B3" s="18" t="inlineStr">
        <is>
          <t>Descripción</t>
        </is>
      </c>
      <c r="C3" s="69" t="inlineStr">
        <is>
          <t>Se le conoce como una aproximación al PIB mensual, permitiendo conocer la tendencia de la economía en el corto plazo. Sigue la evolución del sector real de la economía con un diseño similar al PIB, pero con menos información detallada.</t>
        </is>
      </c>
      <c r="D3" s="67" t="n"/>
      <c r="E3" s="67" t="n"/>
      <c r="F3" s="67" t="n"/>
      <c r="G3" s="67" t="n"/>
      <c r="H3" s="67" t="n"/>
      <c r="I3" s="67" t="n"/>
      <c r="J3" s="67" t="n"/>
      <c r="K3" s="67" t="n"/>
      <c r="L3" s="67" t="n"/>
      <c r="M3" s="67" t="n"/>
      <c r="N3" s="67" t="n"/>
      <c r="O3" s="67" t="n"/>
      <c r="P3" s="67" t="n"/>
      <c r="Q3" s="68" t="n"/>
    </row>
    <row r="4" ht="20.1" customHeight="1">
      <c r="B4" s="18" t="inlineStr">
        <is>
          <t>Frecuencia</t>
        </is>
      </c>
      <c r="C4" s="41" t="inlineStr">
        <is>
          <t>Mensual</t>
        </is>
      </c>
      <c r="D4" s="67" t="n"/>
      <c r="E4" s="67" t="n"/>
      <c r="F4" s="67" t="n"/>
      <c r="G4" s="67" t="n"/>
      <c r="H4" s="67" t="n"/>
      <c r="I4" s="67" t="n"/>
      <c r="J4" s="67" t="n"/>
      <c r="K4" s="67" t="n"/>
      <c r="L4" s="67" t="n"/>
      <c r="M4" s="67" t="n"/>
      <c r="N4" s="67" t="n"/>
      <c r="O4" s="67" t="n"/>
      <c r="P4" s="67" t="n"/>
      <c r="Q4" s="68" t="n"/>
    </row>
    <row r="5" ht="20.1" customHeight="1">
      <c r="B5" s="18" t="inlineStr">
        <is>
          <t>Publicación</t>
        </is>
      </c>
      <c r="C5" s="41" t="inlineStr">
        <is>
          <t>Aproximadamente 55 días después de haber concluido el mes</t>
        </is>
      </c>
      <c r="D5" s="67" t="n"/>
      <c r="E5" s="67" t="n"/>
      <c r="F5" s="67" t="n"/>
      <c r="G5" s="67" t="n"/>
      <c r="H5" s="67" t="n"/>
      <c r="I5" s="67" t="n"/>
      <c r="J5" s="67" t="n"/>
      <c r="K5" s="67" t="n"/>
      <c r="L5" s="67" t="n"/>
      <c r="M5" s="67" t="n"/>
      <c r="N5" s="67" t="n"/>
      <c r="O5" s="67" t="n"/>
      <c r="P5" s="67" t="n"/>
      <c r="Q5" s="68" t="n"/>
    </row>
    <row r="6" ht="20.1" customHeight="1">
      <c r="B6" s="18" t="inlineStr">
        <is>
          <t>Próximo dato</t>
        </is>
      </c>
      <c r="C6" s="51" t="inlineStr">
        <is>
          <t xml:space="preserve">Finales de junio </t>
        </is>
      </c>
      <c r="D6" s="70" t="n"/>
      <c r="E6" s="70" t="n"/>
      <c r="F6" s="70" t="n"/>
      <c r="G6" s="70" t="n"/>
      <c r="H6" s="70" t="n"/>
      <c r="I6" s="70" t="n"/>
      <c r="J6" s="70" t="n"/>
      <c r="K6" s="70" t="n"/>
      <c r="L6" s="70" t="n"/>
      <c r="M6" s="70" t="n"/>
      <c r="N6" s="70" t="n"/>
      <c r="O6" s="70" t="n"/>
      <c r="P6" s="70" t="n"/>
      <c r="Q6" s="74" t="n"/>
    </row>
    <row r="7" ht="39.95" customHeight="1">
      <c r="B7" s="19" t="inlineStr">
        <is>
          <t>Fuente</t>
        </is>
      </c>
      <c r="C7" s="48" t="inlineStr">
        <is>
          <t>INEGI 
https://www.inegi.org.mx/app/indicadores/?tm=3#D733671_600917</t>
        </is>
      </c>
      <c r="D7" s="75" t="n"/>
      <c r="E7" s="75" t="n"/>
      <c r="F7" s="75" t="n"/>
      <c r="G7" s="75" t="n"/>
      <c r="H7" s="75" t="n"/>
      <c r="I7" s="75" t="n"/>
      <c r="J7" s="75" t="n"/>
      <c r="K7" s="75" t="n"/>
      <c r="L7" s="75" t="n"/>
      <c r="M7" s="75" t="n"/>
      <c r="N7" s="75" t="n"/>
      <c r="O7" s="75" t="n"/>
      <c r="P7" s="75" t="n"/>
      <c r="Q7" s="76" t="n"/>
    </row>
    <row r="8" ht="20.1" customHeight="1">
      <c r="B8" s="6" t="n"/>
      <c r="C8" s="7" t="n"/>
      <c r="D8" s="6" t="n"/>
      <c r="E8" s="6" t="n"/>
      <c r="F8" s="6" t="n"/>
      <c r="G8" s="6" t="n"/>
      <c r="H8" s="6" t="n"/>
      <c r="I8" s="6" t="n"/>
      <c r="J8" s="6" t="n"/>
      <c r="K8" s="6" t="n"/>
      <c r="L8" s="6" t="n"/>
      <c r="M8" s="6" t="n"/>
      <c r="N8" s="6" t="n"/>
      <c r="O8" s="6" t="n"/>
      <c r="P8" s="6" t="n"/>
      <c r="Q8" s="6" t="n"/>
      <c r="R8" s="6" t="n"/>
      <c r="S8" s="6" t="n"/>
      <c r="T8" s="6" t="n"/>
      <c r="U8" s="6" t="n"/>
      <c r="V8" s="6" t="n"/>
      <c r="W8" s="6" t="n"/>
      <c r="X8" s="6" t="n"/>
    </row>
    <row r="9" ht="51.75" customHeight="1">
      <c r="B9" s="10" t="inlineStr">
        <is>
          <t>Periodo</t>
        </is>
      </c>
      <c r="C9" s="29" t="inlineStr">
        <is>
          <t>Índice de volumen físico</t>
        </is>
      </c>
      <c r="D9" s="16" t="inlineStr">
        <is>
          <t>Act. Secundarias</t>
        </is>
      </c>
      <c r="E9" s="16" t="inlineStr">
        <is>
          <t>Act. Terciarias</t>
        </is>
      </c>
      <c r="F9" s="6" t="n"/>
      <c r="G9" s="6" t="n"/>
      <c r="H9" s="6" t="n"/>
      <c r="I9" s="6" t="n"/>
      <c r="J9" s="6" t="n"/>
      <c r="K9" s="6" t="n"/>
      <c r="L9" s="6" t="n"/>
      <c r="M9" s="6" t="n"/>
      <c r="N9" s="6" t="n"/>
      <c r="O9" s="6" t="n"/>
      <c r="P9" s="6" t="n"/>
      <c r="Q9" s="6" t="n"/>
      <c r="R9" s="6" t="n"/>
      <c r="S9" s="6" t="n"/>
      <c r="T9" s="6" t="n"/>
      <c r="U9" s="6" t="n"/>
      <c r="V9" s="6" t="n"/>
      <c r="W9" s="6" t="n"/>
      <c r="X9" s="6" t="n"/>
    </row>
    <row r="10" ht="19.5" customHeight="1">
      <c r="B10" s="17" t="inlineStr">
        <is>
          <t>May 25 R</t>
        </is>
      </c>
      <c r="C10" s="30" t="n">
        <v>104.977621139718</v>
      </c>
      <c r="D10" s="30" t="n">
        <v>104.4</v>
      </c>
      <c r="E10" s="30" t="n">
        <v>106.8</v>
      </c>
      <c r="F10" s="6" t="n"/>
      <c r="G10" s="6" t="n"/>
      <c r="H10" s="6" t="n"/>
      <c r="I10" s="6" t="n"/>
      <c r="J10" s="6" t="n"/>
      <c r="K10" s="6" t="n"/>
      <c r="L10" s="6" t="n"/>
      <c r="M10" s="6" t="n"/>
      <c r="N10" s="6" t="n"/>
      <c r="O10" s="6" t="n"/>
      <c r="P10" s="6" t="n"/>
      <c r="Q10" s="6" t="n"/>
      <c r="R10" s="6" t="n"/>
      <c r="S10" s="6" t="n"/>
      <c r="T10" s="6" t="n"/>
      <c r="U10" s="6" t="n"/>
      <c r="V10" s="6" t="n"/>
      <c r="W10" s="6" t="n"/>
      <c r="X10" s="6" t="n"/>
    </row>
    <row r="11" ht="19.5" customHeight="1">
      <c r="B11" s="17" t="inlineStr">
        <is>
          <t>Jun 25 R</t>
        </is>
      </c>
      <c r="C11" s="30" t="n">
        <v>105.036749181744</v>
      </c>
      <c r="D11" s="30" t="n">
        <v>100.87</v>
      </c>
      <c r="E11" s="30" t="n">
        <v>107</v>
      </c>
      <c r="F11" s="6" t="n"/>
      <c r="G11" s="6" t="n"/>
      <c r="H11" s="6" t="n"/>
      <c r="I11" s="6" t="n"/>
      <c r="J11" s="6" t="n"/>
      <c r="K11" s="6" t="n"/>
      <c r="L11" s="6" t="n"/>
      <c r="M11" s="6" t="n"/>
      <c r="N11" s="6" t="n"/>
      <c r="O11" s="6" t="n"/>
      <c r="P11" s="6" t="n"/>
      <c r="Q11" s="6" t="n"/>
      <c r="R11" s="6" t="n"/>
      <c r="S11" s="6" t="n"/>
      <c r="T11" s="6" t="n"/>
      <c r="U11" s="6" t="n"/>
      <c r="V11" s="6" t="n"/>
      <c r="W11" s="6" t="n"/>
      <c r="X11" s="6" t="n"/>
    </row>
    <row r="12" ht="19.5" customHeight="1">
      <c r="B12" s="17" t="inlineStr">
        <is>
          <t>Jul 25 R</t>
        </is>
      </c>
      <c r="C12" s="30" t="n">
        <v>104.454057193007</v>
      </c>
      <c r="D12" s="30" t="n">
        <v>101.58</v>
      </c>
      <c r="E12" s="30" t="n">
        <v>106.9</v>
      </c>
      <c r="F12" s="6" t="n"/>
      <c r="G12" s="6" t="n"/>
      <c r="H12" s="6" t="n"/>
      <c r="I12" s="6" t="n"/>
      <c r="J12" s="6" t="n"/>
      <c r="K12" s="6" t="n"/>
      <c r="L12" s="6" t="n"/>
      <c r="M12" s="6" t="n"/>
      <c r="N12" s="6" t="n"/>
      <c r="O12" s="6" t="n"/>
      <c r="P12" s="6" t="n"/>
      <c r="Q12" s="6" t="n"/>
      <c r="R12" s="6" t="n"/>
      <c r="S12" s="6" t="n"/>
      <c r="T12" s="6" t="n"/>
      <c r="U12" s="6" t="n"/>
      <c r="V12" s="6" t="n"/>
      <c r="W12" s="6" t="n"/>
      <c r="X12" s="6" t="n"/>
    </row>
    <row r="13" ht="19.5" customHeight="1">
      <c r="B13" s="17" t="inlineStr">
        <is>
          <t>Ago 25 R</t>
        </is>
      </c>
      <c r="C13" s="30" t="n">
        <v>104.964729362259</v>
      </c>
      <c r="D13" s="30" t="n">
        <v>101.39</v>
      </c>
      <c r="E13" s="30" t="n">
        <v>107.4</v>
      </c>
      <c r="F13" s="6" t="n"/>
      <c r="G13" s="6" t="n"/>
      <c r="H13" s="6" t="n"/>
      <c r="I13" s="6" t="n"/>
      <c r="J13" s="6" t="n"/>
      <c r="K13" s="6" t="n"/>
      <c r="L13" s="6" t="n"/>
      <c r="M13" s="6" t="n"/>
      <c r="N13" s="6" t="n"/>
      <c r="O13" s="6" t="n"/>
      <c r="P13" s="6" t="n"/>
      <c r="Q13" s="6" t="n"/>
      <c r="R13" s="6" t="n"/>
      <c r="S13" s="6" t="n"/>
      <c r="T13" s="6" t="n"/>
      <c r="U13" s="6" t="n"/>
      <c r="V13" s="6" t="n"/>
      <c r="W13" s="6" t="n"/>
      <c r="X13" s="6" t="n"/>
    </row>
    <row r="14" ht="19.5" customHeight="1">
      <c r="B14" s="17" t="inlineStr">
        <is>
          <t>Sep 25 R</t>
        </is>
      </c>
      <c r="C14" s="30" t="n">
        <v>104.52708789217</v>
      </c>
      <c r="D14" s="30" t="n">
        <v>99.56</v>
      </c>
      <c r="E14" s="30" t="n">
        <v>107</v>
      </c>
      <c r="F14" s="6" t="n"/>
      <c r="G14" s="6" t="n"/>
      <c r="H14" s="6" t="n"/>
      <c r="I14" s="6" t="n"/>
      <c r="J14" s="6" t="n"/>
      <c r="K14" s="6" t="n"/>
      <c r="L14" s="6" t="n"/>
      <c r="M14" s="6" t="n"/>
      <c r="N14" s="6" t="n"/>
      <c r="O14" s="6" t="n"/>
      <c r="P14" s="6" t="n"/>
      <c r="Q14" s="6" t="n"/>
      <c r="R14" s="6" t="n"/>
      <c r="S14" s="6" t="n"/>
      <c r="T14" s="6" t="n"/>
      <c r="U14" s="6" t="n"/>
      <c r="V14" s="6" t="n"/>
      <c r="W14" s="6" t="n"/>
      <c r="X14" s="6" t="n"/>
    </row>
    <row r="15" ht="19.5" customHeight="1">
      <c r="B15" s="17" t="inlineStr">
        <is>
          <t>Oct 25 R</t>
        </is>
      </c>
      <c r="C15" s="30" t="n">
        <v>105.575132119142</v>
      </c>
      <c r="D15" s="30" t="n">
        <v>104.81</v>
      </c>
      <c r="E15" s="30" t="n">
        <v>108.2</v>
      </c>
      <c r="F15" s="6" t="n"/>
      <c r="G15" s="6" t="n"/>
      <c r="H15" s="6" t="n"/>
      <c r="I15" s="6" t="n"/>
      <c r="J15" s="6" t="n"/>
      <c r="K15" s="6" t="n"/>
      <c r="L15" s="6" t="n"/>
      <c r="M15" s="6" t="n"/>
      <c r="N15" s="6" t="n"/>
      <c r="O15" s="6" t="n"/>
      <c r="P15" s="6" t="n"/>
      <c r="Q15" s="6" t="n"/>
      <c r="R15" s="6" t="n"/>
      <c r="S15" s="6" t="n"/>
      <c r="T15" s="6" t="n"/>
      <c r="U15" s="6" t="n"/>
      <c r="V15" s="6" t="n"/>
      <c r="W15" s="6" t="n"/>
      <c r="X15" s="6" t="n"/>
    </row>
    <row r="16" ht="19.5" customHeight="1">
      <c r="B16" s="17" t="inlineStr">
        <is>
          <t>Nov 25 R</t>
        </is>
      </c>
      <c r="C16" s="30" t="n">
        <v>105.476142839221</v>
      </c>
      <c r="D16" s="30" t="n">
        <v>101.45</v>
      </c>
      <c r="E16" s="30" t="n">
        <v>107.8</v>
      </c>
      <c r="F16" s="6" t="n"/>
      <c r="G16" s="6" t="n"/>
      <c r="H16" s="6" t="n"/>
      <c r="I16" s="6" t="n"/>
      <c r="J16" s="6" t="n"/>
      <c r="K16" s="6" t="n"/>
      <c r="L16" s="6" t="n"/>
      <c r="M16" s="6" t="n"/>
      <c r="N16" s="6" t="n"/>
      <c r="O16" s="6" t="n"/>
      <c r="P16" s="6" t="n"/>
      <c r="Q16" s="6" t="n"/>
      <c r="R16" s="6" t="n"/>
      <c r="S16" s="6" t="n"/>
      <c r="T16" s="6" t="n"/>
      <c r="U16" s="6" t="n"/>
      <c r="V16" s="6" t="n"/>
      <c r="W16" s="6" t="n"/>
      <c r="X16" s="6" t="n"/>
    </row>
    <row r="17" ht="19.5" customHeight="1">
      <c r="B17" s="17" t="inlineStr">
        <is>
          <t>Dic 25 R</t>
        </is>
      </c>
      <c r="C17" s="30" t="n">
        <v>105.869089017849</v>
      </c>
      <c r="D17" s="30" t="n">
        <v>98.38</v>
      </c>
      <c r="E17" s="30" t="n">
        <v>108</v>
      </c>
      <c r="F17" s="6" t="n"/>
      <c r="G17" s="6" t="n"/>
      <c r="H17" s="6" t="n"/>
      <c r="I17" s="6" t="n"/>
      <c r="J17" s="6" t="n"/>
      <c r="K17" s="6" t="n"/>
      <c r="L17" s="6" t="n"/>
      <c r="M17" s="6" t="n"/>
      <c r="N17" s="6" t="n"/>
      <c r="O17" s="6" t="n"/>
      <c r="P17" s="6" t="n"/>
      <c r="Q17" s="6" t="n"/>
      <c r="R17" s="6" t="n"/>
      <c r="S17" s="6" t="n"/>
      <c r="T17" s="6" t="n"/>
      <c r="U17" s="6" t="n"/>
      <c r="V17" s="6" t="n"/>
      <c r="W17" s="6" t="n"/>
      <c r="X17" s="6" t="n"/>
    </row>
    <row r="18" ht="19.5" customHeight="1">
      <c r="B18" s="17" t="inlineStr">
        <is>
          <t>Ene 26 R</t>
        </is>
      </c>
      <c r="C18" s="30" t="n">
        <v>104.772484415695</v>
      </c>
      <c r="D18" s="30" t="n">
        <v>96.62</v>
      </c>
      <c r="E18" s="30" t="n">
        <v>107.4</v>
      </c>
      <c r="F18" s="6" t="n"/>
      <c r="G18" s="6" t="n"/>
      <c r="H18" s="6" t="n"/>
      <c r="I18" s="6" t="n"/>
      <c r="J18" s="6" t="n"/>
      <c r="K18" s="6" t="n"/>
      <c r="L18" s="6" t="n"/>
      <c r="M18" s="6" t="n"/>
      <c r="N18" s="6" t="n"/>
      <c r="O18" s="6" t="n"/>
      <c r="P18" s="6" t="n"/>
      <c r="Q18" s="6" t="n"/>
      <c r="R18" s="6" t="n"/>
      <c r="S18" s="6" t="n"/>
      <c r="T18" s="6" t="n"/>
      <c r="U18" s="6" t="n"/>
      <c r="V18" s="6" t="n"/>
      <c r="W18" s="6" t="n"/>
      <c r="X18" s="6" t="n"/>
    </row>
    <row r="19" ht="19.5" customHeight="1">
      <c r="B19" s="17" t="inlineStr">
        <is>
          <t>Feb 26 R</t>
        </is>
      </c>
      <c r="C19" s="30" t="n">
        <v>105.072620201876</v>
      </c>
      <c r="D19" s="30" t="n">
        <v>95.8</v>
      </c>
      <c r="E19" s="30" t="n">
        <v>107.5</v>
      </c>
      <c r="F19" s="6" t="n"/>
      <c r="G19" s="6" t="n"/>
      <c r="H19" s="6" t="n"/>
      <c r="I19" s="6" t="n"/>
      <c r="J19" s="6" t="n"/>
      <c r="K19" s="6" t="n"/>
      <c r="L19" s="6" t="n"/>
      <c r="M19" s="6" t="n"/>
      <c r="N19" s="6" t="n"/>
      <c r="O19" s="6" t="n"/>
      <c r="P19" s="6" t="n"/>
      <c r="Q19" s="6" t="n"/>
      <c r="R19" s="6" t="n"/>
      <c r="S19" s="6" t="n"/>
      <c r="T19" s="6" t="n"/>
      <c r="U19" s="6" t="n"/>
      <c r="V19" s="6" t="n"/>
      <c r="W19" s="6" t="n"/>
      <c r="X19" s="6" t="n"/>
    </row>
    <row r="20" ht="19.5" customHeight="1">
      <c r="B20" s="17" t="inlineStr">
        <is>
          <t>Mar 26 P</t>
        </is>
      </c>
      <c r="C20" s="30" t="n">
        <v>105.660228515201</v>
      </c>
      <c r="D20" s="30" t="n">
        <v>102.75</v>
      </c>
      <c r="E20" s="30" t="n">
        <v>108.5</v>
      </c>
      <c r="F20" s="6" t="n"/>
      <c r="G20" s="6" t="n"/>
      <c r="H20" s="6" t="n"/>
      <c r="I20" s="6" t="n"/>
      <c r="J20" s="6" t="n"/>
      <c r="K20" s="6" t="n"/>
      <c r="L20" s="6" t="n"/>
      <c r="M20" s="6" t="n"/>
      <c r="N20" s="6" t="n"/>
      <c r="O20" s="6" t="n"/>
      <c r="P20" s="6" t="n"/>
      <c r="Q20" s="6" t="n"/>
      <c r="R20" s="6" t="n"/>
      <c r="S20" s="6" t="n"/>
      <c r="T20" s="6" t="n"/>
      <c r="U20" s="6" t="n"/>
      <c r="V20" s="6" t="n"/>
      <c r="W20" s="6" t="n"/>
      <c r="X20" s="6" t="n"/>
    </row>
    <row r="21" ht="19.5" customHeight="1">
      <c r="B21" s="17" t="inlineStr">
        <is>
          <t>Abr 26 P</t>
        </is>
      </c>
      <c r="C21" s="30" t="n">
        <v>106.927124418255</v>
      </c>
      <c r="D21" s="30" t="n">
        <v>102.52</v>
      </c>
      <c r="E21" s="30" t="n">
        <v>109.2</v>
      </c>
      <c r="F21" s="6" t="n"/>
      <c r="G21" s="6" t="n"/>
      <c r="H21" s="6" t="n"/>
      <c r="I21" s="6" t="n"/>
      <c r="J21" s="6" t="n"/>
      <c r="K21" s="6" t="n"/>
      <c r="L21" s="6" t="n"/>
      <c r="M21" s="6" t="n"/>
      <c r="N21" s="6" t="n"/>
      <c r="O21" s="6" t="n"/>
      <c r="P21" s="6" t="n"/>
      <c r="Q21" s="6" t="n"/>
      <c r="R21" s="6" t="n"/>
      <c r="S21" s="6" t="n"/>
      <c r="T21" s="6" t="n"/>
      <c r="U21" s="6" t="n"/>
      <c r="V21" s="6" t="n"/>
      <c r="W21" s="6" t="n"/>
      <c r="X21" s="6" t="n"/>
    </row>
    <row r="22" ht="19.5" customHeight="1">
      <c r="F22" s="6" t="n"/>
      <c r="G22" s="6" t="n"/>
      <c r="H22" s="6" t="n"/>
      <c r="I22" s="6" t="n"/>
      <c r="J22" s="6" t="n"/>
      <c r="K22" s="6" t="n"/>
      <c r="L22" s="6" t="n"/>
      <c r="M22" s="6" t="n"/>
      <c r="N22" s="6" t="n"/>
      <c r="O22" s="6" t="n"/>
      <c r="P22" s="6" t="n"/>
      <c r="Q22" s="6" t="n"/>
      <c r="R22" s="6" t="n"/>
      <c r="S22" s="6" t="n"/>
      <c r="T22" s="6" t="n"/>
      <c r="U22" s="6" t="n"/>
      <c r="V22" s="6" t="n"/>
      <c r="W22" s="6" t="n"/>
      <c r="X22" s="6" t="n"/>
    </row>
    <row r="23" ht="19.5" customHeight="1">
      <c r="B23" s="25" t="inlineStr">
        <is>
          <t>R = cifras revisadas</t>
        </is>
      </c>
      <c r="D23" s="6" t="n"/>
      <c r="E23" s="6" t="n"/>
      <c r="F23" s="6" t="n"/>
      <c r="G23" s="6" t="n"/>
      <c r="H23" s="6" t="n"/>
      <c r="I23" s="6" t="n"/>
      <c r="J23" s="6" t="n"/>
      <c r="K23" s="6" t="n"/>
      <c r="L23" s="6" t="n"/>
      <c r="M23" s="6" t="n"/>
      <c r="N23" s="6" t="n"/>
      <c r="O23" s="6" t="n"/>
      <c r="P23" s="6" t="n"/>
      <c r="Q23" s="6" t="n"/>
      <c r="R23" s="6" t="n"/>
      <c r="S23" s="6" t="n"/>
      <c r="T23" s="6" t="n"/>
      <c r="U23" s="6" t="n"/>
      <c r="V23" s="6" t="n"/>
      <c r="W23" s="6" t="n"/>
      <c r="X23" s="6" t="n"/>
    </row>
    <row r="24" ht="19.5" customHeight="1">
      <c r="B24" s="25" t="inlineStr">
        <is>
          <t>P = cifras preliminares</t>
        </is>
      </c>
      <c r="F24" s="6" t="n"/>
      <c r="G24" s="6" t="n"/>
      <c r="H24" s="6" t="n"/>
      <c r="I24" s="6" t="n"/>
      <c r="J24" s="6" t="n"/>
      <c r="K24" s="6" t="n"/>
      <c r="L24" s="6" t="n"/>
      <c r="M24" s="6" t="n"/>
      <c r="N24" s="6" t="n"/>
      <c r="O24" s="6" t="n"/>
      <c r="P24" s="6" t="n"/>
      <c r="Q24" s="6" t="n"/>
      <c r="R24" s="6" t="n"/>
      <c r="S24" s="6" t="n"/>
      <c r="T24" s="6" t="n"/>
      <c r="U24" s="6" t="n"/>
      <c r="V24" s="6" t="n"/>
      <c r="W24" s="6" t="n"/>
      <c r="X24" s="6" t="n"/>
    </row>
    <row r="25" ht="19.5" customHeight="1">
      <c r="D25" s="6" t="n"/>
      <c r="E25" s="6" t="n"/>
      <c r="F25" s="6" t="n"/>
      <c r="G25" s="6" t="n"/>
      <c r="H25" s="6" t="n"/>
      <c r="I25" s="6" t="n"/>
      <c r="J25" s="6" t="n"/>
      <c r="K25" s="6" t="n"/>
      <c r="L25" s="6" t="n"/>
      <c r="M25" s="6" t="n"/>
      <c r="N25" s="6" t="n"/>
      <c r="O25" s="6" t="n"/>
      <c r="P25" s="6" t="n"/>
      <c r="Q25" s="6" t="n"/>
      <c r="R25" s="6" t="n"/>
      <c r="S25" s="6" t="n"/>
      <c r="T25" s="6" t="n"/>
      <c r="U25" s="6" t="n"/>
      <c r="V25" s="6" t="n"/>
      <c r="W25" s="6" t="n"/>
      <c r="X25" s="6" t="n"/>
    </row>
    <row r="32" ht="67.5" customHeight="1">
      <c r="B32" s="50" t="inlineStr">
        <is>
          <t>Interpretación:
El Índice de Volumen Físico mide exclusivamente la cantidad real de bienes y servicios producidos. Este indicador utiliza el promedio de la actividad económica de 2018 como punto de referencia histórico, asignándole un valor base de 100 puntos. En la práctica, cualquier nivel por encima de este umbral refleja un crecimiento estructural: si el índice alcanza los 105 puntos, significa que la economía es un 5% más grande que en su año base; por el contrario, un registro de 98 puntos evidencia una contracción y un rezago del 2% respecto a dicho periodo.</t>
        </is>
      </c>
    </row>
  </sheetData>
  <mergeCells count="7">
    <mergeCell ref="C7:Q7"/>
    <mergeCell ref="C6:Q6"/>
    <mergeCell ref="B32:Q32"/>
    <mergeCell ref="C2:Q2"/>
    <mergeCell ref="C5:Q5"/>
    <mergeCell ref="C4:Q4"/>
    <mergeCell ref="C3:Q3"/>
  </mergeCell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W31"/>
  <sheetViews>
    <sheetView workbookViewId="0">
      <selection activeCell="D25" sqref="D25"/>
    </sheetView>
  </sheetViews>
  <sheetFormatPr baseColWidth="10" defaultRowHeight="15"/>
  <cols>
    <col width="5.7109375" customWidth="1" min="1" max="1"/>
    <col width="15.7109375" customWidth="1" min="2" max="2"/>
    <col width="14.42578125" bestFit="1" customWidth="1" style="5" min="3" max="3"/>
    <col width="13.140625" customWidth="1" min="4" max="4"/>
    <col width="5.7109375" customWidth="1" min="5" max="5"/>
    <col width="12.28515625" bestFit="1" customWidth="1" min="6" max="23"/>
  </cols>
  <sheetData>
    <row r="2" ht="20.1" customHeight="1">
      <c r="B2" s="18" t="inlineStr">
        <is>
          <t xml:space="preserve">Nombre </t>
        </is>
      </c>
      <c r="C2" s="41" t="inlineStr">
        <is>
          <t>Indicador Mensual de Actividad Industrial (IMAI)</t>
        </is>
      </c>
      <c r="D2" s="67" t="n"/>
      <c r="E2" s="67" t="n"/>
      <c r="F2" s="67" t="n"/>
      <c r="G2" s="67" t="n"/>
      <c r="H2" s="67" t="n"/>
      <c r="I2" s="67" t="n"/>
      <c r="J2" s="67" t="n"/>
      <c r="K2" s="67" t="n"/>
      <c r="L2" s="67" t="n"/>
      <c r="M2" s="67" t="n"/>
      <c r="N2" s="67" t="n"/>
      <c r="O2" s="67" t="n"/>
      <c r="P2" s="68" t="n"/>
    </row>
    <row r="3" ht="39.95" customHeight="1">
      <c r="B3" s="18" t="inlineStr">
        <is>
          <t>Descripción</t>
        </is>
      </c>
      <c r="C3" s="69" t="inlineStr">
        <is>
          <t>Proporciona una visión sobre el comportamiento de la producción industrial en el corto plazo.  El IMAI se divide en cuatro grandes sectores de actividad económica, de acuerdo con el SCIAN: Minería, Construcción, Industrias manufactureras y energía eléctrica, agua y gas.</t>
        </is>
      </c>
      <c r="D3" s="67" t="n"/>
      <c r="E3" s="67" t="n"/>
      <c r="F3" s="67" t="n"/>
      <c r="G3" s="67" t="n"/>
      <c r="H3" s="67" t="n"/>
      <c r="I3" s="67" t="n"/>
      <c r="J3" s="67" t="n"/>
      <c r="K3" s="67" t="n"/>
      <c r="L3" s="67" t="n"/>
      <c r="M3" s="67" t="n"/>
      <c r="N3" s="67" t="n"/>
      <c r="O3" s="67" t="n"/>
      <c r="P3" s="68" t="n"/>
    </row>
    <row r="4" ht="20.1" customHeight="1">
      <c r="B4" s="18" t="inlineStr">
        <is>
          <t>Frecuencia</t>
        </is>
      </c>
      <c r="C4" s="41" t="inlineStr">
        <is>
          <t>Mensual</t>
        </is>
      </c>
      <c r="D4" s="67" t="n"/>
      <c r="E4" s="67" t="n"/>
      <c r="F4" s="67" t="n"/>
      <c r="G4" s="67" t="n"/>
      <c r="H4" s="67" t="n"/>
      <c r="I4" s="67" t="n"/>
      <c r="J4" s="67" t="n"/>
      <c r="K4" s="67" t="n"/>
      <c r="L4" s="67" t="n"/>
      <c r="M4" s="67" t="n"/>
      <c r="N4" s="67" t="n"/>
      <c r="O4" s="67" t="n"/>
      <c r="P4" s="68" t="n"/>
    </row>
    <row r="5" ht="20.1" customHeight="1">
      <c r="B5" s="18" t="inlineStr">
        <is>
          <t>Publicación</t>
        </is>
      </c>
      <c r="C5" s="41" t="n"/>
      <c r="D5" s="67" t="n"/>
      <c r="E5" s="67" t="n"/>
      <c r="F5" s="67" t="n"/>
      <c r="G5" s="67" t="n"/>
      <c r="H5" s="67" t="n"/>
      <c r="I5" s="67" t="n"/>
      <c r="J5" s="67" t="n"/>
      <c r="K5" s="67" t="n"/>
      <c r="L5" s="67" t="n"/>
      <c r="M5" s="67" t="n"/>
      <c r="N5" s="67" t="n"/>
      <c r="O5" s="67" t="n"/>
      <c r="P5" s="68" t="n"/>
    </row>
    <row r="6" ht="20.1" customHeight="1">
      <c r="B6" s="18" t="inlineStr">
        <is>
          <t>Próximo dato</t>
        </is>
      </c>
      <c r="C6" s="51" t="n"/>
      <c r="D6" s="70" t="n"/>
      <c r="E6" s="70" t="n"/>
      <c r="F6" s="70" t="n"/>
      <c r="G6" s="70" t="n"/>
      <c r="H6" s="70" t="n"/>
      <c r="I6" s="70" t="n"/>
      <c r="J6" s="70" t="n"/>
      <c r="K6" s="70" t="n"/>
      <c r="L6" s="70" t="n"/>
      <c r="M6" s="70" t="n"/>
      <c r="N6" s="70" t="n"/>
      <c r="O6" s="70" t="n"/>
      <c r="P6" s="74" t="n"/>
    </row>
    <row r="7" ht="39.95" customHeight="1">
      <c r="B7" s="19" t="inlineStr">
        <is>
          <t>Fuente</t>
        </is>
      </c>
      <c r="C7" s="48" t="inlineStr">
        <is>
          <t>INEGI 
https://www.inegi.org.mx/temas/imai/</t>
        </is>
      </c>
      <c r="D7" s="75" t="n"/>
      <c r="E7" s="75" t="n"/>
      <c r="F7" s="75" t="n"/>
      <c r="G7" s="75" t="n"/>
      <c r="H7" s="75" t="n"/>
      <c r="I7" s="75" t="n"/>
      <c r="J7" s="75" t="n"/>
      <c r="K7" s="75" t="n"/>
      <c r="L7" s="75" t="n"/>
      <c r="M7" s="75" t="n"/>
      <c r="N7" s="75" t="n"/>
      <c r="O7" s="75" t="n"/>
      <c r="P7" s="76" t="n"/>
    </row>
    <row r="8" ht="20.1" customHeight="1">
      <c r="B8" s="6" t="n"/>
      <c r="C8" s="7" t="n"/>
      <c r="D8" s="6" t="n"/>
      <c r="E8" s="6" t="n"/>
      <c r="F8" s="6" t="n"/>
      <c r="G8" s="6" t="n"/>
      <c r="H8" s="6" t="n"/>
      <c r="I8" s="6" t="n"/>
      <c r="J8" s="6" t="n"/>
      <c r="K8" s="6" t="n"/>
      <c r="L8" s="6" t="n"/>
      <c r="M8" s="6" t="n"/>
      <c r="N8" s="6" t="n"/>
      <c r="O8" s="6" t="n"/>
      <c r="P8" s="6" t="n"/>
      <c r="Q8" s="6" t="n"/>
      <c r="R8" s="6" t="n"/>
      <c r="S8" s="6" t="n"/>
      <c r="T8" s="6" t="n"/>
      <c r="U8" s="6" t="n"/>
      <c r="V8" s="6" t="n"/>
      <c r="W8" s="6" t="n"/>
    </row>
    <row r="9" ht="51.75" customHeight="1">
      <c r="B9" s="10" t="inlineStr">
        <is>
          <t>Periodo</t>
        </is>
      </c>
      <c r="C9" s="10" t="inlineStr">
        <is>
          <t>Índice de volumen físico</t>
        </is>
      </c>
      <c r="D9" s="10" t="inlineStr">
        <is>
          <t>Var. mensual (%)</t>
        </is>
      </c>
      <c r="E9" s="6" t="n"/>
      <c r="F9" s="6" t="n"/>
      <c r="G9" s="6" t="n"/>
      <c r="H9" s="6" t="n"/>
      <c r="I9" s="6" t="n"/>
      <c r="J9" s="6" t="n"/>
      <c r="K9" s="6" t="n"/>
      <c r="L9" s="6" t="n"/>
      <c r="M9" s="6" t="n"/>
      <c r="N9" s="6" t="n"/>
      <c r="O9" s="6" t="n"/>
      <c r="P9" s="6" t="n"/>
      <c r="Q9" s="6" t="n"/>
      <c r="R9" s="6" t="n"/>
      <c r="S9" s="6" t="n"/>
      <c r="T9" s="6" t="n"/>
      <c r="U9" s="6" t="n"/>
      <c r="V9" s="6" t="n"/>
      <c r="W9" s="6" t="n"/>
    </row>
    <row r="10" ht="19.5" customHeight="1">
      <c r="B10" s="17" t="inlineStr">
        <is>
          <t>May 25 P</t>
        </is>
      </c>
      <c r="C10" s="21" t="n">
        <v>101.6</v>
      </c>
      <c r="D10" s="31" t="n">
        <v>0.0009</v>
      </c>
      <c r="E10" s="6" t="n"/>
      <c r="R10" s="6" t="n"/>
      <c r="S10" s="6" t="n"/>
      <c r="T10" s="6" t="n"/>
      <c r="U10" s="6" t="n"/>
      <c r="V10" s="6" t="n"/>
      <c r="W10" s="6" t="n"/>
    </row>
    <row r="11" ht="19.5" customHeight="1">
      <c r="B11" s="17" t="inlineStr">
        <is>
          <t>Jun 25 P</t>
        </is>
      </c>
      <c r="C11" s="21" t="n">
        <v>101.2</v>
      </c>
      <c r="D11" s="31">
        <f>C11/C10-1</f>
        <v/>
      </c>
      <c r="E11" s="6" t="n"/>
      <c r="F11" s="6" t="n"/>
      <c r="G11" s="6" t="n"/>
      <c r="H11" s="6" t="n"/>
      <c r="I11" s="6" t="n"/>
      <c r="J11" s="6" t="n"/>
      <c r="K11" s="6" t="n"/>
      <c r="L11" s="6" t="n"/>
      <c r="M11" s="6" t="n"/>
      <c r="N11" s="6" t="n"/>
      <c r="O11" s="6" t="n"/>
      <c r="P11" s="6" t="n"/>
      <c r="Q11" s="6" t="n"/>
      <c r="R11" s="6" t="n"/>
      <c r="S11" s="6" t="n"/>
      <c r="T11" s="6" t="n"/>
      <c r="U11" s="6" t="n"/>
      <c r="V11" s="6" t="n"/>
      <c r="W11" s="6" t="n"/>
    </row>
    <row r="12" ht="19.5" customHeight="1">
      <c r="B12" s="17" t="inlineStr">
        <is>
          <t>Jul 25 P</t>
        </is>
      </c>
      <c r="C12" s="21" t="n">
        <v>100.2</v>
      </c>
      <c r="D12" s="31">
        <f>C12/C11-1</f>
        <v/>
      </c>
      <c r="E12" s="6" t="n"/>
      <c r="F12" s="6" t="n"/>
      <c r="G12" s="6" t="n"/>
      <c r="H12" s="6" t="n"/>
      <c r="I12" s="6" t="n"/>
      <c r="J12" s="6" t="n"/>
      <c r="K12" s="6" t="n"/>
      <c r="L12" s="6" t="n"/>
      <c r="M12" s="6" t="n"/>
      <c r="N12" s="6" t="n"/>
      <c r="O12" s="6" t="n"/>
      <c r="P12" s="6" t="n"/>
      <c r="Q12" s="6" t="n"/>
      <c r="R12" s="6" t="n"/>
      <c r="S12" s="6" t="n"/>
      <c r="T12" s="6" t="n"/>
      <c r="U12" s="6" t="n"/>
      <c r="V12" s="6" t="n"/>
      <c r="W12" s="6" t="n"/>
    </row>
    <row r="13" ht="19.5" customHeight="1">
      <c r="B13" s="17" t="inlineStr">
        <is>
          <t>Ago 25 P</t>
        </is>
      </c>
      <c r="C13" s="21" t="n">
        <v>100</v>
      </c>
      <c r="D13" s="31">
        <f>C13/C12-1</f>
        <v/>
      </c>
      <c r="E13" s="6" t="n"/>
      <c r="F13" s="6" t="n"/>
      <c r="G13" s="6" t="n"/>
      <c r="H13" s="6" t="n"/>
      <c r="I13" s="6" t="n"/>
      <c r="J13" s="6" t="n"/>
      <c r="K13" s="6" t="n"/>
      <c r="L13" s="6" t="n"/>
      <c r="M13" s="6" t="n"/>
      <c r="N13" s="6" t="n"/>
      <c r="O13" s="6" t="n"/>
      <c r="P13" s="6" t="n"/>
      <c r="Q13" s="6" t="n"/>
      <c r="R13" s="6" t="n"/>
      <c r="S13" s="6" t="n"/>
      <c r="T13" s="6" t="n"/>
      <c r="U13" s="6" t="n"/>
      <c r="V13" s="6" t="n"/>
      <c r="W13" s="6" t="n"/>
    </row>
    <row r="14" ht="19.5" customHeight="1">
      <c r="B14" s="17" t="inlineStr">
        <is>
          <t>Sep 25 P</t>
        </is>
      </c>
      <c r="C14" s="21" t="n">
        <v>99.90000000000001</v>
      </c>
      <c r="D14" s="31">
        <f>C14/C13-1</f>
        <v/>
      </c>
      <c r="E14" s="6" t="n"/>
      <c r="F14" s="6" t="n"/>
      <c r="G14" s="6" t="n"/>
      <c r="H14" s="6" t="n"/>
      <c r="I14" s="6" t="n"/>
      <c r="J14" s="6" t="n"/>
      <c r="K14" s="6" t="n"/>
      <c r="L14" s="6" t="n"/>
      <c r="M14" s="6" t="n"/>
      <c r="N14" s="6" t="n"/>
      <c r="O14" s="6" t="n"/>
      <c r="P14" s="6" t="n"/>
      <c r="Q14" s="6" t="n"/>
      <c r="R14" s="6" t="n"/>
      <c r="S14" s="6" t="n"/>
      <c r="T14" s="6" t="n"/>
      <c r="U14" s="6" t="n"/>
      <c r="V14" s="6" t="n"/>
      <c r="W14" s="6" t="n"/>
    </row>
    <row r="15" ht="19.5" customHeight="1">
      <c r="B15" s="17" t="inlineStr">
        <is>
          <t>Oct 25 P</t>
        </is>
      </c>
      <c r="C15" s="21" t="n">
        <v>100.7</v>
      </c>
      <c r="D15" s="31">
        <f>C15/C14-1</f>
        <v/>
      </c>
      <c r="E15" s="6" t="n"/>
      <c r="F15" s="6" t="n"/>
      <c r="G15" s="6" t="n"/>
      <c r="H15" s="6" t="n"/>
      <c r="I15" s="6" t="n"/>
      <c r="J15" s="6" t="n"/>
      <c r="K15" s="6" t="n"/>
      <c r="L15" s="6" t="n"/>
      <c r="M15" s="6" t="n"/>
      <c r="N15" s="6" t="n"/>
      <c r="O15" s="6" t="n"/>
      <c r="P15" s="6" t="n"/>
      <c r="Q15" s="6" t="n"/>
      <c r="R15" s="6" t="n"/>
      <c r="S15" s="6" t="n"/>
      <c r="T15" s="6" t="n"/>
      <c r="U15" s="6" t="n"/>
      <c r="V15" s="6" t="n"/>
      <c r="W15" s="6" t="n"/>
    </row>
    <row r="16" ht="19.5" customHeight="1">
      <c r="B16" s="17" t="inlineStr">
        <is>
          <t>Nov 25 P</t>
        </is>
      </c>
      <c r="C16" s="21" t="n">
        <v>101.3</v>
      </c>
      <c r="D16" s="31">
        <f>C16/C15-1</f>
        <v/>
      </c>
      <c r="E16" s="6" t="n"/>
      <c r="F16" s="6" t="n"/>
      <c r="G16" s="6" t="n"/>
      <c r="H16" s="6" t="n"/>
      <c r="I16" s="6" t="n"/>
      <c r="J16" s="6" t="n"/>
      <c r="K16" s="6" t="n"/>
      <c r="L16" s="6" t="n"/>
      <c r="M16" s="6" t="n"/>
      <c r="N16" s="6" t="n"/>
      <c r="O16" s="6" t="n"/>
      <c r="P16" s="6" t="n"/>
      <c r="Q16" s="6" t="n"/>
      <c r="R16" s="6" t="n"/>
      <c r="S16" s="6" t="n"/>
      <c r="T16" s="6" t="n"/>
      <c r="U16" s="6" t="n"/>
      <c r="V16" s="6" t="n"/>
      <c r="W16" s="6" t="n"/>
    </row>
    <row r="17" ht="19.5" customHeight="1">
      <c r="B17" s="17" t="inlineStr">
        <is>
          <t>Dic 25 P</t>
        </is>
      </c>
      <c r="C17" s="21" t="n">
        <v>100.4</v>
      </c>
      <c r="D17" s="31">
        <f>C17/C16-1</f>
        <v/>
      </c>
      <c r="E17" s="6" t="n"/>
      <c r="F17" s="6" t="n"/>
      <c r="G17" s="6" t="n"/>
      <c r="H17" s="6" t="n"/>
      <c r="I17" s="6" t="n"/>
      <c r="J17" s="6" t="n"/>
      <c r="K17" s="6" t="n"/>
      <c r="L17" s="6" t="n"/>
      <c r="M17" s="6" t="n"/>
      <c r="N17" s="6" t="n"/>
      <c r="O17" s="6" t="n"/>
      <c r="P17" s="6" t="n"/>
      <c r="Q17" s="6" t="n"/>
      <c r="R17" s="6" t="n"/>
      <c r="S17" s="6" t="n"/>
      <c r="T17" s="6" t="n"/>
      <c r="U17" s="6" t="n"/>
      <c r="V17" s="6" t="n"/>
      <c r="W17" s="6" t="n"/>
    </row>
    <row r="18" ht="19.5" customHeight="1">
      <c r="B18" s="17" t="inlineStr">
        <is>
          <t>Ene 26 P</t>
        </is>
      </c>
      <c r="C18" s="21" t="n">
        <v>100.8</v>
      </c>
      <c r="D18" s="31">
        <f>C18/C17-1</f>
        <v/>
      </c>
      <c r="E18" s="6" t="n"/>
      <c r="F18" s="6" t="n"/>
      <c r="G18" s="6" t="n"/>
      <c r="H18" s="6" t="n"/>
      <c r="I18" s="6" t="n"/>
      <c r="J18" s="6" t="n"/>
      <c r="K18" s="6" t="n"/>
      <c r="L18" s="6" t="n"/>
      <c r="M18" s="6" t="n"/>
      <c r="N18" s="6" t="n"/>
      <c r="O18" s="6" t="n"/>
      <c r="P18" s="6" t="n"/>
      <c r="Q18" s="6" t="n"/>
      <c r="R18" s="6" t="n"/>
      <c r="S18" s="6" t="n"/>
      <c r="T18" s="6" t="n"/>
      <c r="U18" s="6" t="n"/>
      <c r="V18" s="6" t="n"/>
      <c r="W18" s="6" t="n"/>
    </row>
    <row r="19" ht="19.5" customHeight="1">
      <c r="B19" s="17" t="inlineStr">
        <is>
          <t>Feb 26 P</t>
        </is>
      </c>
      <c r="C19" s="21" t="n">
        <v>104.4568568234</v>
      </c>
      <c r="D19" s="31">
        <f>C19/C18-1</f>
        <v/>
      </c>
      <c r="E19" s="6" t="n"/>
      <c r="F19" s="6" t="n"/>
      <c r="G19" s="6" t="n"/>
      <c r="H19" s="6" t="n"/>
      <c r="I19" s="6" t="n"/>
      <c r="J19" s="6" t="n"/>
      <c r="K19" s="6" t="n"/>
      <c r="L19" s="6" t="n"/>
      <c r="M19" s="6" t="n"/>
      <c r="N19" s="6" t="n"/>
      <c r="O19" s="6" t="n"/>
      <c r="P19" s="6" t="n"/>
      <c r="Q19" s="6" t="n"/>
      <c r="R19" s="6" t="n"/>
      <c r="S19" s="6" t="n"/>
      <c r="T19" s="6" t="n"/>
      <c r="U19" s="6" t="n"/>
      <c r="V19" s="6" t="n"/>
      <c r="W19" s="6" t="n"/>
    </row>
    <row r="20" ht="19.5" customHeight="1">
      <c r="B20" s="17" t="inlineStr">
        <is>
          <t>Mar 26 P</t>
        </is>
      </c>
      <c r="C20" s="21" t="n">
        <v>100.3</v>
      </c>
      <c r="D20" s="31">
        <f>C20/C19-1</f>
        <v/>
      </c>
      <c r="E20" s="6" t="n"/>
      <c r="F20" s="6" t="n"/>
      <c r="G20" s="6" t="n"/>
      <c r="H20" s="6" t="n"/>
      <c r="J20" s="6" t="n"/>
      <c r="K20" s="6" t="n"/>
      <c r="L20" s="6" t="n"/>
      <c r="M20" s="6" t="n"/>
      <c r="N20" s="6" t="n"/>
      <c r="O20" s="6" t="n"/>
      <c r="P20" s="6" t="n"/>
      <c r="Q20" s="6" t="n"/>
      <c r="R20" s="6" t="n"/>
      <c r="S20" s="6" t="n"/>
      <c r="T20" s="6" t="n"/>
      <c r="U20" s="6" t="n"/>
      <c r="V20" s="6" t="n"/>
      <c r="W20" s="6" t="n"/>
    </row>
    <row r="21" ht="19.5" customHeight="1">
      <c r="B21" s="17" t="inlineStr">
        <is>
          <t>Abr 26 P</t>
        </is>
      </c>
      <c r="C21" s="21" t="n">
        <v>102.4</v>
      </c>
      <c r="D21" s="31">
        <f>C21/C20-1</f>
        <v/>
      </c>
      <c r="E21" s="6" t="n"/>
      <c r="F21" s="6" t="n"/>
      <c r="G21" s="6" t="n"/>
      <c r="H21" s="6" t="n"/>
      <c r="I21" s="6" t="n"/>
      <c r="J21" s="6" t="n"/>
      <c r="K21" s="6" t="n"/>
      <c r="L21" s="6" t="n"/>
      <c r="M21" s="6" t="n"/>
      <c r="N21" s="6" t="n"/>
      <c r="O21" s="6" t="n"/>
      <c r="P21" s="6" t="n"/>
      <c r="Q21" s="6" t="n"/>
      <c r="R21" s="6" t="n"/>
      <c r="S21" s="6" t="n"/>
      <c r="T21" s="6" t="n"/>
      <c r="U21" s="6" t="n"/>
      <c r="V21" s="6" t="n"/>
      <c r="W21" s="6" t="n"/>
    </row>
    <row r="22" ht="19.5" customHeight="1">
      <c r="D22" s="6" t="n"/>
      <c r="E22" s="6" t="n"/>
      <c r="F22" s="6" t="n"/>
      <c r="G22" s="6" t="n"/>
      <c r="H22" s="6" t="n"/>
      <c r="I22" s="6" t="n"/>
      <c r="J22" s="6" t="n"/>
      <c r="K22" s="6" t="n"/>
      <c r="L22" s="6" t="n"/>
      <c r="M22" s="6" t="n"/>
      <c r="N22" s="6" t="n"/>
      <c r="O22" s="6" t="n"/>
      <c r="P22" s="6" t="n"/>
      <c r="Q22" s="6" t="n"/>
      <c r="R22" s="6" t="n"/>
      <c r="S22" s="6" t="n"/>
      <c r="T22" s="6" t="n"/>
      <c r="U22" s="6" t="n"/>
      <c r="V22" s="6" t="n"/>
      <c r="W22" s="6" t="n"/>
    </row>
    <row r="23" ht="19.5" customHeight="1">
      <c r="B23" s="25" t="inlineStr">
        <is>
          <t>R = Cifras revisadas</t>
        </is>
      </c>
      <c r="D23" s="6" t="n"/>
      <c r="E23" s="6" t="n"/>
      <c r="F23" s="6" t="n"/>
      <c r="G23" s="6" t="n"/>
      <c r="H23" s="6" t="n"/>
      <c r="I23" s="6" t="n"/>
      <c r="J23" s="6" t="n"/>
      <c r="K23" s="6" t="n"/>
      <c r="L23" s="6" t="n"/>
      <c r="M23" s="6" t="n"/>
      <c r="N23" s="6" t="n"/>
      <c r="O23" s="6" t="n"/>
      <c r="P23" s="6" t="n"/>
      <c r="Q23" s="6" t="n"/>
      <c r="R23" s="6" t="n"/>
      <c r="S23" s="6" t="n"/>
      <c r="T23" s="6" t="n"/>
      <c r="U23" s="6" t="n"/>
      <c r="V23" s="6" t="n"/>
      <c r="W23" s="6" t="n"/>
    </row>
    <row r="24" ht="19.5" customHeight="1">
      <c r="B24" s="25" t="inlineStr">
        <is>
          <t>P = Cifras preliminares</t>
        </is>
      </c>
      <c r="D24" s="6" t="n"/>
      <c r="E24" s="6" t="n"/>
      <c r="F24" s="6" t="n"/>
      <c r="G24" s="6" t="n"/>
      <c r="H24" s="6" t="n"/>
      <c r="I24" s="6" t="n"/>
      <c r="J24" s="6" t="n"/>
      <c r="K24" s="6" t="n"/>
      <c r="L24" s="6" t="n"/>
      <c r="M24" s="6" t="n"/>
      <c r="N24" s="6" t="n"/>
      <c r="O24" s="6" t="n"/>
      <c r="P24" s="6" t="n"/>
      <c r="Q24" s="6" t="n"/>
      <c r="R24" s="6" t="n"/>
      <c r="S24" s="6" t="n"/>
      <c r="T24" s="6" t="n"/>
      <c r="U24" s="6" t="n"/>
      <c r="V24" s="6" t="n"/>
      <c r="W24" s="6" t="n"/>
    </row>
    <row r="31" ht="106.5" customHeight="1">
      <c r="B31" s="50" t="inlineStr">
        <is>
          <t>Interpretación:
El Índice de Volumen Físico de Actividad Industrial (línea verde) mide exclusivamente la cantidad real de bienes y servicios adquiridos por los hogares, eliminando el efecto de la inflación. Este indicador utiliza el promedio del consumo de 2018 como punto de referencia histórico, asignándole un valor base de 100 puntos. A lo largo de todo el periodo analizado, el índice se mantiene sólidamente por encima de este umbral, lo que refleja un nivel de gasto estructuralmente mayor al histórico.
La Variación Mensual (línea dorada) evalúa el ritmo y la dirección del gasto a muy corto plazo, comparando el desempeño de cada mes inmediatamente con el mes anterior. Los porcentajes positivos indican una aceleración en el consumo frente al mes pasado, mientras que los valores negativos reflejan un freno.</t>
        </is>
      </c>
    </row>
  </sheetData>
  <mergeCells count="7">
    <mergeCell ref="C3:P3"/>
    <mergeCell ref="C4:P4"/>
    <mergeCell ref="C6:P6"/>
    <mergeCell ref="C7:P7"/>
    <mergeCell ref="C2:P2"/>
    <mergeCell ref="B31:P31"/>
    <mergeCell ref="C5:P5"/>
  </mergeCell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Q41"/>
  <sheetViews>
    <sheetView topLeftCell="A13" zoomScale="140" zoomScaleNormal="140" workbookViewId="0">
      <selection activeCell="E37" sqref="E37"/>
    </sheetView>
  </sheetViews>
  <sheetFormatPr baseColWidth="10" defaultRowHeight="15"/>
  <cols>
    <col width="5.7109375" customWidth="1" min="1" max="1"/>
    <col width="15.7109375" customWidth="1" style="23" min="2" max="2"/>
    <col width="14.28515625" bestFit="1" customWidth="1" style="5" min="3" max="3"/>
    <col width="14.28515625" customWidth="1" style="5" min="4" max="4"/>
    <col width="5.7109375" customWidth="1" min="5" max="5"/>
  </cols>
  <sheetData>
    <row r="2" ht="17.25" customHeight="1">
      <c r="B2" s="18" t="inlineStr">
        <is>
          <t xml:space="preserve">Nombre </t>
        </is>
      </c>
      <c r="C2" s="41" t="inlineStr">
        <is>
          <t xml:space="preserve">Balanza comercial de mercancías de México </t>
        </is>
      </c>
      <c r="D2" s="67" t="n"/>
      <c r="E2" s="67" t="n"/>
      <c r="F2" s="67" t="n"/>
      <c r="G2" s="67" t="n"/>
      <c r="H2" s="67" t="n"/>
      <c r="I2" s="67" t="n"/>
      <c r="J2" s="67" t="n"/>
      <c r="K2" s="67" t="n"/>
      <c r="L2" s="67" t="n"/>
      <c r="M2" s="67" t="n"/>
      <c r="N2" s="67" t="n"/>
      <c r="O2" s="67" t="n"/>
      <c r="P2" s="67" t="n"/>
      <c r="Q2" s="68" t="n"/>
    </row>
    <row r="3" ht="17.25" customHeight="1">
      <c r="B3" s="18" t="inlineStr">
        <is>
          <t>Descripción</t>
        </is>
      </c>
      <c r="C3" s="47" t="inlineStr">
        <is>
          <t>Es un indicador que registra el valor monetario de las transacciones de bienes físicos entre residentes y no residentes del país, desglosado en exportaciones e importaciones.</t>
        </is>
      </c>
      <c r="D3" s="67" t="n"/>
      <c r="E3" s="67" t="n"/>
      <c r="F3" s="67" t="n"/>
      <c r="G3" s="67" t="n"/>
      <c r="H3" s="67" t="n"/>
      <c r="I3" s="67" t="n"/>
      <c r="J3" s="67" t="n"/>
      <c r="K3" s="67" t="n"/>
      <c r="L3" s="67" t="n"/>
      <c r="M3" s="67" t="n"/>
      <c r="N3" s="67" t="n"/>
      <c r="O3" s="67" t="n"/>
      <c r="P3" s="67" t="n"/>
      <c r="Q3" s="68" t="n"/>
    </row>
    <row r="4" ht="17.25" customHeight="1">
      <c r="B4" s="18" t="inlineStr">
        <is>
          <t>Frecuencia</t>
        </is>
      </c>
      <c r="C4" s="41" t="inlineStr">
        <is>
          <t>Mensual</t>
        </is>
      </c>
      <c r="D4" s="67" t="n"/>
      <c r="E4" s="67" t="n"/>
      <c r="F4" s="67" t="n"/>
      <c r="G4" s="67" t="n"/>
      <c r="H4" s="67" t="n"/>
      <c r="I4" s="67" t="n"/>
      <c r="J4" s="67" t="n"/>
      <c r="K4" s="67" t="n"/>
      <c r="L4" s="67" t="n"/>
      <c r="M4" s="67" t="n"/>
      <c r="N4" s="67" t="n"/>
      <c r="O4" s="67" t="n"/>
      <c r="P4" s="67" t="n"/>
      <c r="Q4" s="68" t="n"/>
    </row>
    <row r="5" ht="17.25" customHeight="1">
      <c r="B5" s="18" t="inlineStr">
        <is>
          <t>Publicación</t>
        </is>
      </c>
      <c r="C5" s="41" t="inlineStr">
        <is>
          <t>Aproximadamente 30 a 45 días posteriores al cierre del mes</t>
        </is>
      </c>
      <c r="D5" s="67" t="n"/>
      <c r="E5" s="67" t="n"/>
      <c r="F5" s="67" t="n"/>
      <c r="G5" s="67" t="n"/>
      <c r="H5" s="67" t="n"/>
      <c r="I5" s="67" t="n"/>
      <c r="J5" s="67" t="n"/>
      <c r="K5" s="67" t="n"/>
      <c r="L5" s="67" t="n"/>
      <c r="M5" s="67" t="n"/>
      <c r="N5" s="67" t="n"/>
      <c r="O5" s="67" t="n"/>
      <c r="P5" s="67" t="n"/>
      <c r="Q5" s="68" t="n"/>
    </row>
    <row r="6" ht="17.25" customHeight="1">
      <c r="B6" s="18" t="inlineStr">
        <is>
          <t>Próximo dato</t>
        </is>
      </c>
      <c r="C6" s="41" t="inlineStr">
        <is>
          <t>26 de junio</t>
        </is>
      </c>
      <c r="D6" s="67" t="n"/>
      <c r="E6" s="67" t="n"/>
      <c r="F6" s="67" t="n"/>
      <c r="G6" s="67" t="n"/>
      <c r="H6" s="67" t="n"/>
      <c r="I6" s="67" t="n"/>
      <c r="J6" s="67" t="n"/>
      <c r="K6" s="67" t="n"/>
      <c r="L6" s="67" t="n"/>
      <c r="M6" s="67" t="n"/>
      <c r="N6" s="67" t="n"/>
      <c r="O6" s="67" t="n"/>
      <c r="P6" s="67" t="n"/>
      <c r="Q6" s="68" t="n"/>
    </row>
    <row r="7" ht="39.95" customHeight="1">
      <c r="B7" s="19" t="inlineStr">
        <is>
          <t>Fuente</t>
        </is>
      </c>
      <c r="C7" s="43" t="inlineStr">
        <is>
          <t>INEGI 
https://www.inegi.org.mx/temas/balanza/#informacion_general</t>
        </is>
      </c>
      <c r="D7" s="70" t="n"/>
      <c r="E7" s="70" t="n"/>
      <c r="F7" s="70" t="n"/>
      <c r="G7" s="70" t="n"/>
      <c r="H7" s="70" t="n"/>
      <c r="I7" s="70" t="n"/>
      <c r="J7" s="70" t="n"/>
      <c r="K7" s="70" t="n"/>
      <c r="L7" s="70" t="n"/>
      <c r="M7" s="70" t="n"/>
      <c r="N7" s="70" t="n"/>
      <c r="O7" s="70" t="n"/>
      <c r="P7" s="70" t="n"/>
      <c r="Q7" s="70" t="n"/>
    </row>
    <row r="9" ht="17.25" customHeight="1">
      <c r="B9" s="10" t="inlineStr">
        <is>
          <t>Periodo</t>
        </is>
      </c>
      <c r="C9" s="10" t="inlineStr">
        <is>
          <t>Exportaciones</t>
        </is>
      </c>
      <c r="D9" s="10" t="inlineStr">
        <is>
          <t xml:space="preserve">Var. Anual </t>
        </is>
      </c>
    </row>
    <row r="10" ht="17.25" customHeight="1">
      <c r="B10" s="17" t="inlineStr">
        <is>
          <t>May 24</t>
        </is>
      </c>
      <c r="C10" s="71" t="n">
        <v>55754.041</v>
      </c>
      <c r="D10" s="38" t="n"/>
    </row>
    <row r="11" ht="17.25" customHeight="1">
      <c r="B11" s="17" t="inlineStr">
        <is>
          <t>Jun 24</t>
        </is>
      </c>
      <c r="C11" s="71" t="n">
        <v>48824.268</v>
      </c>
      <c r="D11" s="38" t="n"/>
    </row>
    <row r="12" ht="17.25" customHeight="1">
      <c r="B12" s="17" t="inlineStr">
        <is>
          <t>Jul 24</t>
        </is>
      </c>
      <c r="C12" s="71" t="n">
        <v>54550.711</v>
      </c>
      <c r="D12" s="38" t="n"/>
    </row>
    <row r="13" ht="17.25" customHeight="1">
      <c r="B13" s="17" t="inlineStr">
        <is>
          <t>Ago 24</t>
        </is>
      </c>
      <c r="C13" s="71" t="n">
        <v>51902.528</v>
      </c>
      <c r="D13" s="38" t="n"/>
    </row>
    <row r="14" ht="17.25" customHeight="1">
      <c r="B14" s="17" t="inlineStr">
        <is>
          <t>Sep 24</t>
        </is>
      </c>
      <c r="C14" s="71" t="n">
        <v>49629.743</v>
      </c>
      <c r="D14" s="38" t="n"/>
    </row>
    <row r="15" ht="17.25" customHeight="1">
      <c r="B15" s="17" t="inlineStr">
        <is>
          <t>Oct 24</t>
        </is>
      </c>
      <c r="C15" s="71" t="n">
        <v>57897.71</v>
      </c>
      <c r="D15" s="38" t="n"/>
    </row>
    <row r="16" ht="17.25" customHeight="1">
      <c r="B16" s="17" t="inlineStr">
        <is>
          <t>Nov 24</t>
        </is>
      </c>
      <c r="C16" s="71" t="n">
        <v>52264.794</v>
      </c>
      <c r="D16" s="38" t="n"/>
    </row>
    <row r="17" ht="17.25" customHeight="1">
      <c r="B17" s="17" t="inlineStr">
        <is>
          <t>Dic 24</t>
        </is>
      </c>
      <c r="C17" s="71" t="n">
        <v>51754.359</v>
      </c>
      <c r="D17" s="38" t="n"/>
    </row>
    <row r="18" ht="17.25" customHeight="1">
      <c r="B18" s="17" t="inlineStr">
        <is>
          <t>Ene 25</t>
        </is>
      </c>
      <c r="C18" s="71" t="n">
        <v>44398.267</v>
      </c>
      <c r="D18" s="38" t="n"/>
    </row>
    <row r="19" ht="17.25" customHeight="1">
      <c r="B19" s="17" t="inlineStr">
        <is>
          <t>Feb 25</t>
        </is>
      </c>
      <c r="C19" s="71" t="n">
        <v>49098.535</v>
      </c>
      <c r="D19" s="38" t="n"/>
    </row>
    <row r="20" ht="17.25" customHeight="1">
      <c r="B20" s="17" t="inlineStr">
        <is>
          <t>Mar 25</t>
        </is>
      </c>
      <c r="C20" s="71" t="n">
        <v>55404.972</v>
      </c>
      <c r="D20" s="38" t="n"/>
    </row>
    <row r="21" ht="17.25" customHeight="1">
      <c r="B21" s="17" t="inlineStr">
        <is>
          <t>Abr 25</t>
        </is>
      </c>
      <c r="C21" s="71" t="n">
        <v>54347.764</v>
      </c>
      <c r="D21" s="38" t="n"/>
    </row>
    <row r="22" ht="17.25" customHeight="1">
      <c r="B22" s="17" t="inlineStr">
        <is>
          <t>May 25</t>
        </is>
      </c>
      <c r="C22" s="71" t="n">
        <v>55476.735</v>
      </c>
      <c r="D22" s="38" t="n"/>
    </row>
    <row r="23" ht="17.25" customHeight="1">
      <c r="B23" s="17" t="inlineStr">
        <is>
          <t>Jun 25</t>
        </is>
      </c>
      <c r="C23" s="71" t="n">
        <v>54001.827</v>
      </c>
      <c r="D23" s="38">
        <f>C23/C11-1</f>
        <v/>
      </c>
    </row>
    <row r="24" ht="17.25" customHeight="1">
      <c r="B24" s="17" t="inlineStr">
        <is>
          <t>Jul 25</t>
        </is>
      </c>
      <c r="C24" s="71" t="n">
        <v>56707.774</v>
      </c>
      <c r="D24" s="38">
        <f>C24/C12-1</f>
        <v/>
      </c>
    </row>
    <row r="25" ht="17.25" customHeight="1">
      <c r="B25" s="17" t="inlineStr">
        <is>
          <t>Ago 25</t>
        </is>
      </c>
      <c r="C25" s="71" t="n">
        <v>55718.184</v>
      </c>
      <c r="D25" s="38">
        <f>C25/C13-1</f>
        <v/>
      </c>
    </row>
    <row r="26" ht="17.25" customHeight="1">
      <c r="B26" s="17" t="inlineStr">
        <is>
          <t>Sep 25</t>
        </is>
      </c>
      <c r="C26" s="71" t="n">
        <v>56487.938</v>
      </c>
      <c r="D26" s="38">
        <f>C26/C14-1</f>
        <v/>
      </c>
    </row>
    <row r="27" ht="17.25" customHeight="1">
      <c r="B27" s="17" t="inlineStr">
        <is>
          <t>Oct 25</t>
        </is>
      </c>
      <c r="C27" s="71" t="n">
        <v>66132.55100000001</v>
      </c>
      <c r="D27" s="38">
        <f>C27/C15-1</f>
        <v/>
      </c>
    </row>
    <row r="28" ht="17.25" customHeight="1">
      <c r="B28" s="17" t="inlineStr">
        <is>
          <t>Nov 25</t>
        </is>
      </c>
      <c r="C28" s="71" t="n">
        <v>56411.894</v>
      </c>
      <c r="D28" s="38">
        <f>C28/C16-1</f>
        <v/>
      </c>
    </row>
    <row r="29" ht="17.25" customHeight="1">
      <c r="B29" s="17" t="inlineStr">
        <is>
          <t>Dic 25</t>
        </is>
      </c>
      <c r="C29" s="71" t="n">
        <v>60650.727</v>
      </c>
      <c r="D29" s="38">
        <f>C29/C17-1</f>
        <v/>
      </c>
    </row>
    <row r="30" ht="17.25" customHeight="1">
      <c r="B30" s="17" t="inlineStr">
        <is>
          <t>Ene 26</t>
        </is>
      </c>
      <c r="C30" s="71" t="n">
        <v>48007.823</v>
      </c>
      <c r="D30" s="38">
        <f>C30/C18-1</f>
        <v/>
      </c>
    </row>
    <row r="31" ht="17.25" customHeight="1">
      <c r="B31" s="17" t="inlineStr">
        <is>
          <t>Feb 26</t>
        </is>
      </c>
      <c r="C31" s="71" t="n">
        <v>56851.119</v>
      </c>
      <c r="D31" s="38">
        <f>C31/C19-1</f>
        <v/>
      </c>
    </row>
    <row r="32" ht="17.25" customHeight="1">
      <c r="B32" s="17" t="inlineStr">
        <is>
          <t>Mar 26</t>
        </is>
      </c>
      <c r="C32" s="71" t="n">
        <v>70727.019</v>
      </c>
      <c r="D32" s="38">
        <f>C32/C20-1</f>
        <v/>
      </c>
    </row>
    <row r="33" ht="17.25" customHeight="1">
      <c r="B33" s="17" t="inlineStr">
        <is>
          <t>Abr 26</t>
        </is>
      </c>
      <c r="C33" s="71" t="n">
        <v>72041.829</v>
      </c>
      <c r="D33" s="38">
        <f>C33/C21-1</f>
        <v/>
      </c>
    </row>
    <row r="34" ht="17.25" customHeight="1">
      <c r="B34" s="17" t="inlineStr">
        <is>
          <t>May 26 O</t>
        </is>
      </c>
      <c r="C34" s="71" t="n">
        <v>69544.49099999999</v>
      </c>
      <c r="D34" s="38">
        <f>C34/C22-1</f>
        <v/>
      </c>
    </row>
    <row r="35" ht="17.25" customHeight="1">
      <c r="B35" s="39" t="inlineStr">
        <is>
          <t>Promedio</t>
        </is>
      </c>
      <c r="D35" s="40">
        <f>AVERAGE(D23:D34)</f>
        <v/>
      </c>
    </row>
    <row r="36" ht="17.25" customHeight="1">
      <c r="B36" s="24" t="n"/>
    </row>
    <row r="37" ht="17.25" customHeight="1">
      <c r="B37" s="24" t="n"/>
    </row>
    <row r="38" ht="17.25" customHeight="1">
      <c r="B38" s="24" t="n"/>
    </row>
    <row r="39" ht="17.25" customHeight="1">
      <c r="B39" s="24" t="n"/>
    </row>
    <row r="40" ht="17.25" customHeight="1">
      <c r="B40" s="24" t="n"/>
    </row>
    <row r="41" ht="17.25" customHeight="1">
      <c r="B41" s="24" t="n"/>
    </row>
  </sheetData>
  <mergeCells count="6">
    <mergeCell ref="C7:Q7"/>
    <mergeCell ref="C6:Q6"/>
    <mergeCell ref="C2:Q2"/>
    <mergeCell ref="C5:Q5"/>
    <mergeCell ref="C4:Q4"/>
    <mergeCell ref="C3:Q3"/>
  </mergeCells>
  <pageMargins left="0.7" right="0.7"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R35"/>
  <sheetViews>
    <sheetView tabSelected="1" workbookViewId="0">
      <selection activeCell="T11" sqref="T11"/>
    </sheetView>
  </sheetViews>
  <sheetFormatPr baseColWidth="10" defaultRowHeight="15"/>
  <cols>
    <col width="5.7109375" customWidth="1" min="1" max="1"/>
    <col width="15.7109375" customWidth="1" style="23" min="2" max="2"/>
    <col width="14.28515625" bestFit="1" customWidth="1" min="3" max="3"/>
    <col width="14.28515625" customWidth="1" min="4" max="4"/>
    <col width="15.28515625" customWidth="1" min="5" max="5"/>
    <col width="5.7109375" customWidth="1" min="6" max="6"/>
  </cols>
  <sheetData>
    <row r="2" ht="17.25" customHeight="1">
      <c r="B2" s="18" t="inlineStr">
        <is>
          <t xml:space="preserve">Nombre </t>
        </is>
      </c>
      <c r="C2" s="41" t="inlineStr">
        <is>
          <t xml:space="preserve">Balanza comercial de mercancías de México </t>
        </is>
      </c>
      <c r="D2" s="67" t="n"/>
      <c r="E2" s="67" t="n"/>
      <c r="F2" s="67" t="n"/>
      <c r="G2" s="67" t="n"/>
      <c r="H2" s="67" t="n"/>
      <c r="I2" s="67" t="n"/>
      <c r="J2" s="67" t="n"/>
      <c r="K2" s="67" t="n"/>
      <c r="L2" s="67" t="n"/>
      <c r="M2" s="67" t="n"/>
      <c r="N2" s="67" t="n"/>
      <c r="O2" s="67" t="n"/>
      <c r="P2" s="67" t="n"/>
      <c r="Q2" s="67" t="n"/>
      <c r="R2" s="68" t="n"/>
    </row>
    <row r="3" ht="17.25" customHeight="1">
      <c r="B3" s="18" t="inlineStr">
        <is>
          <t>Descripción</t>
        </is>
      </c>
      <c r="C3" s="47" t="inlineStr">
        <is>
          <t>Es un indicador que registra el valor monetario de las transacciones de bienes físicos entre residentes y no residentes del país, desglosado en exportaciones e importaciones.</t>
        </is>
      </c>
      <c r="D3" s="67" t="n"/>
      <c r="E3" s="67" t="n"/>
      <c r="F3" s="67" t="n"/>
      <c r="G3" s="67" t="n"/>
      <c r="H3" s="67" t="n"/>
      <c r="I3" s="67" t="n"/>
      <c r="J3" s="67" t="n"/>
      <c r="K3" s="67" t="n"/>
      <c r="L3" s="67" t="n"/>
      <c r="M3" s="67" t="n"/>
      <c r="N3" s="67" t="n"/>
      <c r="O3" s="67" t="n"/>
      <c r="P3" s="67" t="n"/>
      <c r="Q3" s="67" t="n"/>
      <c r="R3" s="68" t="n"/>
    </row>
    <row r="4" ht="17.25" customHeight="1">
      <c r="B4" s="18" t="inlineStr">
        <is>
          <t>Frecuencia</t>
        </is>
      </c>
      <c r="C4" s="41" t="inlineStr">
        <is>
          <t>Mensual</t>
        </is>
      </c>
      <c r="D4" s="67" t="n"/>
      <c r="E4" s="67" t="n"/>
      <c r="F4" s="67" t="n"/>
      <c r="G4" s="67" t="n"/>
      <c r="H4" s="67" t="n"/>
      <c r="I4" s="67" t="n"/>
      <c r="J4" s="67" t="n"/>
      <c r="K4" s="67" t="n"/>
      <c r="L4" s="67" t="n"/>
      <c r="M4" s="67" t="n"/>
      <c r="N4" s="67" t="n"/>
      <c r="O4" s="67" t="n"/>
      <c r="P4" s="67" t="n"/>
      <c r="Q4" s="67" t="n"/>
      <c r="R4" s="68" t="n"/>
    </row>
    <row r="5" ht="17.25" customHeight="1">
      <c r="B5" s="18" t="inlineStr">
        <is>
          <t>Publicación</t>
        </is>
      </c>
      <c r="C5" s="41" t="inlineStr">
        <is>
          <t>Aproximadamente 30 a 45 días posteriores al cierre del mes</t>
        </is>
      </c>
      <c r="D5" s="67" t="n"/>
      <c r="E5" s="67" t="n"/>
      <c r="F5" s="67" t="n"/>
      <c r="G5" s="67" t="n"/>
      <c r="H5" s="67" t="n"/>
      <c r="I5" s="67" t="n"/>
      <c r="J5" s="67" t="n"/>
      <c r="K5" s="67" t="n"/>
      <c r="L5" s="67" t="n"/>
      <c r="M5" s="67" t="n"/>
      <c r="N5" s="67" t="n"/>
      <c r="O5" s="67" t="n"/>
      <c r="P5" s="67" t="n"/>
      <c r="Q5" s="67" t="n"/>
      <c r="R5" s="68" t="n"/>
    </row>
    <row r="6" ht="17.25" customHeight="1">
      <c r="B6" s="18" t="inlineStr">
        <is>
          <t>Próximo dato</t>
        </is>
      </c>
      <c r="C6" s="41" t="inlineStr">
        <is>
          <t>26 de junio</t>
        </is>
      </c>
      <c r="D6" s="67" t="n"/>
      <c r="E6" s="67" t="n"/>
      <c r="F6" s="67" t="n"/>
      <c r="G6" s="67" t="n"/>
      <c r="H6" s="67" t="n"/>
      <c r="I6" s="67" t="n"/>
      <c r="J6" s="67" t="n"/>
      <c r="K6" s="67" t="n"/>
      <c r="L6" s="67" t="n"/>
      <c r="M6" s="67" t="n"/>
      <c r="N6" s="67" t="n"/>
      <c r="O6" s="67" t="n"/>
      <c r="P6" s="67" t="n"/>
      <c r="Q6" s="67" t="n"/>
      <c r="R6" s="68" t="n"/>
    </row>
    <row r="7" ht="39.95" customHeight="1">
      <c r="B7" s="19" t="inlineStr">
        <is>
          <t>Fuente</t>
        </is>
      </c>
      <c r="C7" s="43" t="inlineStr">
        <is>
          <t>INEGI 
https://www.inegi.org.mx/temas/balanza/#informacion_general</t>
        </is>
      </c>
      <c r="D7" s="70" t="n"/>
      <c r="E7" s="70" t="n"/>
      <c r="F7" s="70" t="n"/>
      <c r="G7" s="70" t="n"/>
      <c r="H7" s="70" t="n"/>
      <c r="I7" s="70" t="n"/>
      <c r="J7" s="70" t="n"/>
      <c r="K7" s="70" t="n"/>
      <c r="L7" s="70" t="n"/>
      <c r="M7" s="70" t="n"/>
      <c r="N7" s="70" t="n"/>
      <c r="O7" s="70" t="n"/>
      <c r="P7" s="70" t="n"/>
      <c r="Q7" s="70" t="n"/>
      <c r="R7" s="70" t="n"/>
    </row>
    <row r="9" ht="34.5" customHeight="1">
      <c r="B9" s="10" t="inlineStr">
        <is>
          <t>Periodo</t>
        </is>
      </c>
      <c r="C9" s="10" t="inlineStr">
        <is>
          <t>Exportaciones</t>
        </is>
      </c>
      <c r="D9" s="10" t="inlineStr">
        <is>
          <t>Var. Mensual Exp</t>
        </is>
      </c>
      <c r="E9" s="10" t="inlineStr">
        <is>
          <t>Importaciones</t>
        </is>
      </c>
    </row>
    <row r="10" ht="17.25" customHeight="1">
      <c r="B10" s="17" t="inlineStr">
        <is>
          <t>May 24</t>
        </is>
      </c>
      <c r="C10" s="71" t="n">
        <v>55754.041</v>
      </c>
      <c r="D10" s="71" t="n"/>
      <c r="E10" s="71" t="n">
        <v>54863.065</v>
      </c>
    </row>
    <row r="11" ht="17.25" customHeight="1">
      <c r="B11" s="17" t="inlineStr">
        <is>
          <t>Jun 24</t>
        </is>
      </c>
      <c r="C11" s="71" t="n">
        <v>48824.268</v>
      </c>
      <c r="D11" s="71" t="n"/>
      <c r="E11" s="71" t="n">
        <v>51230.591</v>
      </c>
    </row>
    <row r="12" ht="17.25" customHeight="1">
      <c r="B12" s="17" t="inlineStr">
        <is>
          <t>Jul 24</t>
        </is>
      </c>
      <c r="C12" s="71" t="n">
        <v>54550.711</v>
      </c>
      <c r="D12" s="71" t="n"/>
      <c r="E12" s="71" t="n">
        <v>55771.222</v>
      </c>
    </row>
    <row r="13" ht="17.25" customHeight="1">
      <c r="B13" s="17" t="inlineStr">
        <is>
          <t>Ago 24</t>
        </is>
      </c>
      <c r="C13" s="71" t="n">
        <v>51902.528</v>
      </c>
      <c r="D13" s="71" t="n"/>
      <c r="E13" s="71" t="n">
        <v>57747.196</v>
      </c>
    </row>
    <row r="14" ht="17.25" customHeight="1">
      <c r="B14" s="17" t="inlineStr">
        <is>
          <t>Sep 24</t>
        </is>
      </c>
      <c r="C14" s="71" t="n">
        <v>49629.743</v>
      </c>
      <c r="D14" s="71" t="n"/>
      <c r="E14" s="71" t="n">
        <v>51120.789</v>
      </c>
    </row>
    <row r="15" ht="17.25" customHeight="1">
      <c r="B15" s="17" t="inlineStr">
        <is>
          <t>Oct 24</t>
        </is>
      </c>
      <c r="C15" s="71" t="n">
        <v>57897.71</v>
      </c>
      <c r="D15" s="71" t="n"/>
      <c r="E15" s="71" t="n">
        <v>58109.034</v>
      </c>
    </row>
    <row r="16" ht="17.25" customHeight="1">
      <c r="B16" s="17" t="inlineStr">
        <is>
          <t>Nov 24</t>
        </is>
      </c>
      <c r="C16" s="71" t="n">
        <v>52264.794</v>
      </c>
      <c r="D16" s="71" t="n"/>
      <c r="E16" s="71" t="n">
        <v>52971.031</v>
      </c>
    </row>
    <row r="17" ht="17.25" customHeight="1">
      <c r="B17" s="17" t="inlineStr">
        <is>
          <t>Dic 24</t>
        </is>
      </c>
      <c r="C17" s="71" t="n">
        <v>51754.359</v>
      </c>
      <c r="D17" s="71" t="n"/>
      <c r="E17" s="71" t="n">
        <v>49905.838</v>
      </c>
    </row>
    <row r="18" ht="17.25" customHeight="1">
      <c r="B18" s="17" t="inlineStr">
        <is>
          <t>Ene 25</t>
        </is>
      </c>
      <c r="C18" s="71" t="n">
        <v>44398.267</v>
      </c>
      <c r="D18" s="71" t="n"/>
      <c r="E18" s="71" t="n">
        <v>49611.476</v>
      </c>
    </row>
    <row r="19" ht="17.25" customHeight="1">
      <c r="B19" s="17" t="inlineStr">
        <is>
          <t>Feb 25</t>
        </is>
      </c>
      <c r="C19" s="71" t="n">
        <v>49098.535</v>
      </c>
      <c r="D19" s="71" t="n"/>
      <c r="E19" s="71" t="n">
        <v>47444.307</v>
      </c>
    </row>
    <row r="20" ht="17.25" customHeight="1">
      <c r="B20" s="17" t="inlineStr">
        <is>
          <t>Mar 25</t>
        </is>
      </c>
      <c r="C20" s="71" t="n">
        <v>55404.972</v>
      </c>
      <c r="D20" s="71" t="n"/>
      <c r="E20" s="71" t="n">
        <v>52115.201</v>
      </c>
    </row>
    <row r="21" ht="17.25" customHeight="1">
      <c r="B21" s="17" t="inlineStr">
        <is>
          <t>Abr 25</t>
        </is>
      </c>
      <c r="C21" s="71" t="n">
        <v>54347.764</v>
      </c>
      <c r="D21" s="71" t="n"/>
      <c r="E21" s="71" t="n">
        <v>54392.226</v>
      </c>
    </row>
    <row r="22" ht="17.25" customHeight="1">
      <c r="B22" s="17" t="inlineStr">
        <is>
          <t>May 25</t>
        </is>
      </c>
      <c r="C22" s="71" t="n">
        <v>55476.735</v>
      </c>
      <c r="D22" s="71" t="n"/>
      <c r="E22" s="71" t="n">
        <v>54244.911</v>
      </c>
    </row>
    <row r="23" ht="17.25" customHeight="1">
      <c r="B23" s="17" t="inlineStr">
        <is>
          <t>Jun 25</t>
        </is>
      </c>
      <c r="C23" s="71" t="n">
        <v>54001.827</v>
      </c>
      <c r="D23" s="71" t="n"/>
      <c r="E23" s="71" t="n">
        <v>53487.398</v>
      </c>
    </row>
    <row r="24" ht="17.25" customHeight="1">
      <c r="B24" s="17" t="inlineStr">
        <is>
          <t>Jul 25</t>
        </is>
      </c>
      <c r="C24" s="71" t="n">
        <v>56707.774</v>
      </c>
      <c r="D24" s="71" t="n"/>
      <c r="E24" s="71" t="n">
        <v>56724.468</v>
      </c>
    </row>
    <row r="25" ht="17.25" customHeight="1">
      <c r="B25" s="17" t="inlineStr">
        <is>
          <t>Ago 25</t>
        </is>
      </c>
      <c r="C25" s="71" t="n">
        <v>55718.184</v>
      </c>
      <c r="D25" s="71" t="n"/>
      <c r="E25" s="71" t="n">
        <v>57662.068</v>
      </c>
    </row>
    <row r="26" ht="17.25" customHeight="1">
      <c r="B26" s="17" t="inlineStr">
        <is>
          <t>Sep 25</t>
        </is>
      </c>
      <c r="C26" s="71" t="n">
        <v>56487.938</v>
      </c>
      <c r="D26" s="71" t="n"/>
      <c r="E26" s="71" t="n">
        <v>58887.475</v>
      </c>
    </row>
    <row r="27" ht="17.25" customHeight="1">
      <c r="B27" s="17" t="inlineStr">
        <is>
          <t>Oct 25</t>
        </is>
      </c>
      <c r="C27" s="71" t="n">
        <v>66132.55100000001</v>
      </c>
      <c r="D27" s="71" t="n"/>
      <c r="E27" s="71" t="n">
        <v>65526.483</v>
      </c>
    </row>
    <row r="28" ht="17.25" customHeight="1">
      <c r="B28" s="17" t="inlineStr">
        <is>
          <t>Nov 25</t>
        </is>
      </c>
      <c r="C28" s="71" t="n">
        <v>56411.894</v>
      </c>
      <c r="D28" s="71" t="n"/>
      <c r="E28" s="71" t="n">
        <v>55749.102</v>
      </c>
    </row>
    <row r="29" ht="17.25" customHeight="1">
      <c r="B29" s="17" t="inlineStr">
        <is>
          <t>Dic 25</t>
        </is>
      </c>
      <c r="C29" s="71" t="n">
        <v>60650.727</v>
      </c>
      <c r="D29" s="71" t="n"/>
      <c r="E29" s="71" t="n">
        <v>58221.107</v>
      </c>
    </row>
    <row r="30" ht="17.25" customHeight="1">
      <c r="B30" s="17" t="inlineStr">
        <is>
          <t>Ene 26</t>
        </is>
      </c>
      <c r="C30" s="71" t="n">
        <v>48007.823</v>
      </c>
      <c r="D30" s="71" t="n"/>
      <c r="E30" s="71" t="n">
        <v>54488.877</v>
      </c>
    </row>
    <row r="31" ht="17.25" customHeight="1">
      <c r="B31" s="17" t="inlineStr">
        <is>
          <t>Feb 26</t>
        </is>
      </c>
      <c r="C31" s="71" t="n">
        <v>56851.119</v>
      </c>
      <c r="D31" s="71" t="n"/>
      <c r="E31" s="71" t="n">
        <v>57313.897</v>
      </c>
    </row>
    <row r="32" ht="17.25" customHeight="1">
      <c r="B32" s="17" t="inlineStr">
        <is>
          <t>Mar 26</t>
        </is>
      </c>
      <c r="C32" s="71" t="n">
        <v>70727.019</v>
      </c>
      <c r="D32" s="71" t="n"/>
      <c r="E32" s="71" t="n">
        <v>64795.021</v>
      </c>
    </row>
    <row r="33" ht="17.25" customHeight="1">
      <c r="B33" s="17" t="inlineStr">
        <is>
          <t>Abr 26</t>
        </is>
      </c>
      <c r="C33" s="71" t="n">
        <v>72041.829</v>
      </c>
      <c r="D33" s="71" t="n"/>
      <c r="E33" s="71" t="n">
        <v>67521.798</v>
      </c>
    </row>
    <row r="34" ht="17.25" customHeight="1">
      <c r="B34" s="17" t="inlineStr">
        <is>
          <t>May 26 O</t>
        </is>
      </c>
      <c r="C34" s="71" t="n">
        <v>69544.49099999999</v>
      </c>
      <c r="D34" s="71" t="n"/>
      <c r="E34" s="71" t="n">
        <v>67285.323</v>
      </c>
    </row>
    <row r="35" ht="17.25" customHeight="1">
      <c r="B35" s="24" t="n"/>
    </row>
  </sheetData>
  <mergeCells count="6">
    <mergeCell ref="C2:R2"/>
    <mergeCell ref="C5:R5"/>
    <mergeCell ref="C3:R3"/>
    <mergeCell ref="C4:R4"/>
    <mergeCell ref="C6:R6"/>
    <mergeCell ref="C7:R7"/>
  </mergeCells>
  <pageMargins left="0.7" right="0.7" top="0.75" bottom="0.75" header="0.3" footer="0.3"/>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W32"/>
  <sheetViews>
    <sheetView topLeftCell="A7" workbookViewId="0">
      <selection activeCell="C11" sqref="C10:C11"/>
    </sheetView>
  </sheetViews>
  <sheetFormatPr baseColWidth="10" defaultRowHeight="15"/>
  <cols>
    <col width="5.7109375" customWidth="1" min="1" max="1"/>
    <col width="15.7109375" customWidth="1" min="2" max="2"/>
    <col width="14.42578125" bestFit="1" customWidth="1" style="5" min="3" max="3"/>
    <col width="13.140625" customWidth="1" min="4" max="4"/>
    <col width="5.7109375" customWidth="1" min="5" max="5"/>
    <col width="12.28515625" bestFit="1" customWidth="1" min="6" max="23"/>
  </cols>
  <sheetData>
    <row r="2" ht="20.1" customHeight="1">
      <c r="B2" s="18" t="inlineStr">
        <is>
          <t xml:space="preserve">Nombre </t>
        </is>
      </c>
      <c r="C2" s="41" t="inlineStr">
        <is>
          <t>Indicador Mensual de Consumo Privado</t>
        </is>
      </c>
      <c r="D2" s="67" t="n"/>
      <c r="E2" s="67" t="n"/>
      <c r="F2" s="67" t="n"/>
      <c r="G2" s="67" t="n"/>
      <c r="H2" s="67" t="n"/>
      <c r="I2" s="67" t="n"/>
      <c r="J2" s="67" t="n"/>
      <c r="K2" s="67" t="n"/>
      <c r="L2" s="67" t="n"/>
      <c r="M2" s="67" t="n"/>
      <c r="N2" s="67" t="n"/>
      <c r="O2" s="67" t="n"/>
      <c r="P2" s="68" t="n"/>
    </row>
    <row r="3" ht="39.95" customHeight="1">
      <c r="B3" s="18" t="inlineStr">
        <is>
          <t>Descripción</t>
        </is>
      </c>
      <c r="C3" s="69" t="inlineStr">
        <is>
          <t>Mide el gasto realizado por los hogares y las instituciones sin fines de lucro que les sirven, tanto para la adquisición de bienes como de servicios.</t>
        </is>
      </c>
      <c r="D3" s="67" t="n"/>
      <c r="E3" s="67" t="n"/>
      <c r="F3" s="67" t="n"/>
      <c r="G3" s="67" t="n"/>
      <c r="H3" s="67" t="n"/>
      <c r="I3" s="67" t="n"/>
      <c r="J3" s="67" t="n"/>
      <c r="K3" s="67" t="n"/>
      <c r="L3" s="67" t="n"/>
      <c r="M3" s="67" t="n"/>
      <c r="N3" s="67" t="n"/>
      <c r="O3" s="67" t="n"/>
      <c r="P3" s="68" t="n"/>
    </row>
    <row r="4" ht="20.1" customHeight="1">
      <c r="B4" s="18" t="inlineStr">
        <is>
          <t>Frecuencia</t>
        </is>
      </c>
      <c r="C4" s="41" t="inlineStr">
        <is>
          <t>Mensual</t>
        </is>
      </c>
      <c r="D4" s="67" t="n"/>
      <c r="E4" s="67" t="n"/>
      <c r="F4" s="67" t="n"/>
      <c r="G4" s="67" t="n"/>
      <c r="H4" s="67" t="n"/>
      <c r="I4" s="67" t="n"/>
      <c r="J4" s="67" t="n"/>
      <c r="K4" s="67" t="n"/>
      <c r="L4" s="67" t="n"/>
      <c r="M4" s="67" t="n"/>
      <c r="N4" s="67" t="n"/>
      <c r="O4" s="67" t="n"/>
      <c r="P4" s="68" t="n"/>
    </row>
    <row r="5" ht="20.1" customHeight="1">
      <c r="B5" s="18" t="inlineStr">
        <is>
          <t>Publicación</t>
        </is>
      </c>
      <c r="C5" s="41" t="inlineStr">
        <is>
          <t>Aproximadamente 21 días después de haber concluido el mes</t>
        </is>
      </c>
      <c r="D5" s="67" t="n"/>
      <c r="E5" s="67" t="n"/>
      <c r="F5" s="67" t="n"/>
      <c r="G5" s="67" t="n"/>
      <c r="H5" s="67" t="n"/>
      <c r="I5" s="67" t="n"/>
      <c r="J5" s="67" t="n"/>
      <c r="K5" s="67" t="n"/>
      <c r="L5" s="67" t="n"/>
      <c r="M5" s="67" t="n"/>
      <c r="N5" s="67" t="n"/>
      <c r="O5" s="67" t="n"/>
      <c r="P5" s="68" t="n"/>
    </row>
    <row r="6" ht="20.1" customHeight="1">
      <c r="B6" s="18" t="inlineStr">
        <is>
          <t>Próximo dato</t>
        </is>
      </c>
      <c r="C6" s="51" t="n"/>
      <c r="D6" s="70" t="n"/>
      <c r="E6" s="70" t="n"/>
      <c r="F6" s="70" t="n"/>
      <c r="G6" s="70" t="n"/>
      <c r="H6" s="70" t="n"/>
      <c r="I6" s="70" t="n"/>
      <c r="J6" s="70" t="n"/>
      <c r="K6" s="70" t="n"/>
      <c r="L6" s="70" t="n"/>
      <c r="M6" s="70" t="n"/>
      <c r="N6" s="70" t="n"/>
      <c r="O6" s="70" t="n"/>
      <c r="P6" s="74" t="n"/>
    </row>
    <row r="7" ht="39.95" customHeight="1">
      <c r="B7" s="19" t="inlineStr">
        <is>
          <t>Fuente</t>
        </is>
      </c>
      <c r="C7" s="48" t="inlineStr">
        <is>
          <t>INEGI 
https://www.inegi.org.mx/app/indicadores/?tm=3#D733671_600917</t>
        </is>
      </c>
      <c r="D7" s="75" t="n"/>
      <c r="E7" s="75" t="n"/>
      <c r="F7" s="75" t="n"/>
      <c r="G7" s="75" t="n"/>
      <c r="H7" s="75" t="n"/>
      <c r="I7" s="75" t="n"/>
      <c r="J7" s="75" t="n"/>
      <c r="K7" s="75" t="n"/>
      <c r="L7" s="75" t="n"/>
      <c r="M7" s="75" t="n"/>
      <c r="N7" s="75" t="n"/>
      <c r="O7" s="75" t="n"/>
      <c r="P7" s="76" t="n"/>
    </row>
    <row r="8" ht="20.1" customHeight="1">
      <c r="B8" s="6" t="n"/>
      <c r="C8" s="7" t="n"/>
      <c r="D8" s="6" t="n"/>
      <c r="E8" s="6" t="n"/>
      <c r="F8" s="6" t="n"/>
      <c r="G8" s="6" t="n"/>
      <c r="H8" s="6" t="n"/>
      <c r="I8" s="6" t="n"/>
      <c r="J8" s="6" t="n"/>
      <c r="K8" s="6" t="n"/>
      <c r="L8" s="6" t="n"/>
      <c r="M8" s="6" t="n"/>
      <c r="N8" s="6" t="n"/>
      <c r="O8" s="6" t="n"/>
      <c r="P8" s="6" t="n"/>
      <c r="Q8" s="6" t="n"/>
      <c r="R8" s="6" t="n"/>
      <c r="S8" s="6" t="n"/>
      <c r="T8" s="6" t="n"/>
      <c r="U8" s="6" t="n"/>
      <c r="V8" s="6" t="n"/>
      <c r="W8" s="6" t="n"/>
    </row>
    <row r="9" ht="51.75" customHeight="1">
      <c r="B9" s="10" t="inlineStr">
        <is>
          <t>Periodo</t>
        </is>
      </c>
      <c r="C9" s="10" t="inlineStr">
        <is>
          <t>Índice de volumen físico</t>
        </is>
      </c>
      <c r="D9" s="10" t="inlineStr">
        <is>
          <t>Var. mensual (%)</t>
        </is>
      </c>
      <c r="E9" s="6" t="n"/>
      <c r="F9" s="6" t="n"/>
      <c r="G9" s="6" t="n"/>
      <c r="H9" s="6" t="n"/>
      <c r="I9" s="6" t="n"/>
      <c r="J9" s="6" t="n"/>
      <c r="K9" s="6" t="n"/>
      <c r="L9" s="6" t="n"/>
      <c r="M9" s="6" t="n"/>
      <c r="N9" s="6" t="n"/>
      <c r="O9" s="6" t="n"/>
      <c r="P9" s="6" t="n"/>
      <c r="Q9" s="6" t="n"/>
      <c r="R9" s="6" t="n"/>
      <c r="S9" s="6" t="n"/>
      <c r="T9" s="6" t="n"/>
      <c r="U9" s="6" t="n"/>
      <c r="V9" s="6" t="n"/>
      <c r="W9" s="6" t="n"/>
    </row>
    <row r="10" ht="19.5" customHeight="1">
      <c r="B10" s="17" t="inlineStr">
        <is>
          <t>Abr 25 R</t>
        </is>
      </c>
      <c r="C10" s="21" t="n">
        <v>110.1915640022</v>
      </c>
      <c r="D10" s="20" t="n"/>
      <c r="E10" s="6" t="n"/>
      <c r="F10" s="6" t="n"/>
      <c r="G10" s="6" t="n"/>
      <c r="H10" s="6" t="n"/>
      <c r="I10" s="6" t="n"/>
      <c r="J10" s="6" t="n"/>
      <c r="K10" s="6" t="n"/>
      <c r="L10" s="6" t="n"/>
      <c r="M10" s="6" t="n"/>
      <c r="N10" s="6" t="n"/>
      <c r="O10" s="6" t="n"/>
      <c r="P10" s="6" t="n"/>
      <c r="Q10" s="6" t="n"/>
      <c r="R10" s="6" t="n"/>
      <c r="S10" s="6" t="n"/>
      <c r="T10" s="6" t="n"/>
      <c r="U10" s="6" t="n"/>
      <c r="V10" s="6" t="n"/>
      <c r="W10" s="6" t="n"/>
    </row>
    <row r="11" ht="19.5" customHeight="1">
      <c r="B11" s="17" t="inlineStr">
        <is>
          <t>May 25 R</t>
        </is>
      </c>
      <c r="C11" s="21" t="n">
        <v>112.1104060481</v>
      </c>
      <c r="D11" s="20">
        <f>C11/C10-1</f>
        <v/>
      </c>
      <c r="E11" s="6" t="n"/>
      <c r="F11" s="6" t="n"/>
      <c r="G11" s="6" t="n"/>
      <c r="H11" s="6" t="n"/>
      <c r="I11" s="6" t="n"/>
      <c r="J11" s="6" t="n"/>
      <c r="K11" s="6" t="n"/>
      <c r="L11" s="6" t="n"/>
      <c r="M11" s="6" t="n"/>
      <c r="N11" s="6" t="n"/>
      <c r="O11" s="6" t="n"/>
      <c r="P11" s="6" t="n"/>
      <c r="Q11" s="6" t="n"/>
      <c r="R11" s="6" t="n"/>
      <c r="S11" s="6" t="n"/>
      <c r="T11" s="6" t="n"/>
      <c r="U11" s="6" t="n"/>
      <c r="V11" s="6" t="n"/>
      <c r="W11" s="6" t="n"/>
    </row>
    <row r="12" ht="19.5" customHeight="1">
      <c r="B12" s="17" t="inlineStr">
        <is>
          <t>Jun 25 R</t>
        </is>
      </c>
      <c r="C12" s="21" t="n">
        <v>109.886652307</v>
      </c>
      <c r="D12" s="20">
        <f>C12/C11-1</f>
        <v/>
      </c>
      <c r="E12" s="6" t="n"/>
      <c r="F12" s="6" t="n"/>
      <c r="G12" s="6" t="n"/>
      <c r="H12" s="6" t="n"/>
      <c r="I12" s="6" t="n"/>
      <c r="J12" s="6" t="n"/>
      <c r="K12" s="6" t="n"/>
      <c r="L12" s="6" t="n"/>
      <c r="M12" s="6" t="n"/>
      <c r="N12" s="6" t="n"/>
      <c r="O12" s="6" t="n"/>
      <c r="P12" s="6" t="n"/>
      <c r="Q12" s="6" t="n"/>
      <c r="R12" s="6" t="n"/>
      <c r="S12" s="6" t="n"/>
      <c r="T12" s="6" t="n"/>
      <c r="U12" s="6" t="n"/>
      <c r="V12" s="6" t="n"/>
      <c r="W12" s="6" t="n"/>
    </row>
    <row r="13" ht="19.5" customHeight="1">
      <c r="B13" s="17" t="inlineStr">
        <is>
          <t>Jul 25 R</t>
        </is>
      </c>
      <c r="C13" s="21" t="n">
        <v>113.9981602839</v>
      </c>
      <c r="D13" s="20">
        <f>C13/C12-1</f>
        <v/>
      </c>
      <c r="E13" s="6" t="n"/>
      <c r="F13" s="6" t="n"/>
      <c r="G13" s="6" t="n"/>
      <c r="H13" s="6" t="n"/>
      <c r="I13" s="6" t="n"/>
      <c r="J13" s="6" t="n"/>
      <c r="K13" s="6" t="n"/>
      <c r="L13" s="6" t="n"/>
      <c r="M13" s="6" t="n"/>
      <c r="N13" s="6" t="n"/>
      <c r="O13" s="6" t="n"/>
      <c r="P13" s="6" t="n"/>
      <c r="Q13" s="6" t="n"/>
      <c r="R13" s="6" t="n"/>
      <c r="S13" s="6" t="n"/>
      <c r="T13" s="6" t="n"/>
      <c r="U13" s="6" t="n"/>
      <c r="V13" s="6" t="n"/>
      <c r="W13" s="6" t="n"/>
    </row>
    <row r="14" ht="19.5" customHeight="1">
      <c r="B14" s="17" t="inlineStr">
        <is>
          <t>Ago 25 R</t>
        </is>
      </c>
      <c r="C14" s="21" t="n">
        <v>114.2930377275</v>
      </c>
      <c r="D14" s="20">
        <f>C14/C13-1</f>
        <v/>
      </c>
      <c r="E14" s="6" t="n"/>
      <c r="F14" s="6" t="n"/>
      <c r="G14" s="6" t="n"/>
      <c r="H14" s="6" t="n"/>
      <c r="I14" s="6" t="n"/>
      <c r="J14" s="6" t="n"/>
      <c r="K14" s="6" t="n"/>
      <c r="L14" s="6" t="n"/>
      <c r="M14" s="6" t="n"/>
      <c r="N14" s="6" t="n"/>
      <c r="O14" s="6" t="n"/>
      <c r="P14" s="6" t="n"/>
      <c r="Q14" s="6" t="n"/>
      <c r="R14" s="6" t="n"/>
      <c r="S14" s="6" t="n"/>
      <c r="T14" s="6" t="n"/>
      <c r="U14" s="6" t="n"/>
      <c r="V14" s="6" t="n"/>
      <c r="W14" s="6" t="n"/>
    </row>
    <row r="15" ht="19.5" customHeight="1">
      <c r="B15" s="17" t="inlineStr">
        <is>
          <t>Sep 25 R</t>
        </is>
      </c>
      <c r="C15" s="21" t="n">
        <v>113.141670895</v>
      </c>
      <c r="D15" s="20">
        <f>C15/C14-1</f>
        <v/>
      </c>
      <c r="E15" s="6" t="n"/>
      <c r="F15" s="6" t="n"/>
      <c r="G15" s="6" t="n"/>
      <c r="H15" s="6" t="n"/>
      <c r="I15" s="6" t="n"/>
      <c r="J15" s="6" t="n"/>
      <c r="K15" s="6" t="n"/>
      <c r="L15" s="6" t="n"/>
      <c r="M15" s="6" t="n"/>
      <c r="N15" s="6" t="n"/>
      <c r="O15" s="6" t="n"/>
      <c r="P15" s="6" t="n"/>
      <c r="Q15" s="6" t="n"/>
      <c r="R15" s="6" t="n"/>
      <c r="S15" s="6" t="n"/>
      <c r="T15" s="6" t="n"/>
      <c r="U15" s="6" t="n"/>
      <c r="V15" s="6" t="n"/>
      <c r="W15" s="6" t="n"/>
    </row>
    <row r="16" ht="19.5" customHeight="1">
      <c r="B16" s="17" t="inlineStr">
        <is>
          <t>Oct 25 R</t>
        </is>
      </c>
      <c r="C16" s="21" t="n">
        <v>117.4042949687</v>
      </c>
      <c r="D16" s="20">
        <f>C16/C15-1</f>
        <v/>
      </c>
      <c r="E16" s="6" t="n"/>
      <c r="F16" s="6" t="n"/>
      <c r="G16" s="6" t="n"/>
      <c r="H16" s="6" t="n"/>
      <c r="I16" s="6" t="n"/>
      <c r="J16" s="6" t="n"/>
      <c r="K16" s="6" t="n"/>
      <c r="L16" s="6" t="n"/>
      <c r="M16" s="6" t="n"/>
      <c r="N16" s="6" t="n"/>
      <c r="O16" s="6" t="n"/>
      <c r="P16" s="6" t="n"/>
      <c r="Q16" s="6" t="n"/>
      <c r="R16" s="6" t="n"/>
      <c r="S16" s="6" t="n"/>
      <c r="T16" s="6" t="n"/>
      <c r="U16" s="6" t="n"/>
      <c r="V16" s="6" t="n"/>
      <c r="W16" s="6" t="n"/>
    </row>
    <row r="17" ht="19.5" customHeight="1">
      <c r="B17" s="17" t="inlineStr">
        <is>
          <t>Nov 25 R</t>
        </is>
      </c>
      <c r="C17" s="21" t="n">
        <v>113.8299222248</v>
      </c>
      <c r="D17" s="20">
        <f>C17/C16-1</f>
        <v/>
      </c>
      <c r="E17" s="6" t="n"/>
      <c r="F17" s="6" t="n"/>
      <c r="G17" s="6" t="n"/>
      <c r="H17" s="6" t="n"/>
      <c r="I17" s="6" t="n"/>
      <c r="J17" s="6" t="n"/>
      <c r="K17" s="6" t="n"/>
      <c r="L17" s="6" t="n"/>
      <c r="M17" s="6" t="n"/>
      <c r="N17" s="6" t="n"/>
      <c r="O17" s="6" t="n"/>
      <c r="P17" s="6" t="n"/>
      <c r="Q17" s="6" t="n"/>
      <c r="R17" s="6" t="n"/>
      <c r="S17" s="6" t="n"/>
      <c r="T17" s="6" t="n"/>
      <c r="U17" s="6" t="n"/>
      <c r="V17" s="6" t="n"/>
      <c r="W17" s="6" t="n"/>
    </row>
    <row r="18" ht="19.5" customHeight="1">
      <c r="B18" s="17" t="inlineStr">
        <is>
          <t>Dic 25 R</t>
        </is>
      </c>
      <c r="C18" s="21" t="n">
        <v>116.8438878273</v>
      </c>
      <c r="D18" s="20">
        <f>C18/C17-1</f>
        <v/>
      </c>
      <c r="E18" s="6" t="n"/>
      <c r="F18" s="6" t="n"/>
      <c r="G18" s="6" t="n"/>
      <c r="H18" s="6" t="n"/>
      <c r="I18" s="6" t="n"/>
      <c r="J18" s="6" t="n"/>
      <c r="K18" s="6" t="n"/>
      <c r="L18" s="6" t="n"/>
      <c r="M18" s="6" t="n"/>
      <c r="N18" s="6" t="n"/>
      <c r="O18" s="6" t="n"/>
      <c r="P18" s="6" t="n"/>
      <c r="Q18" s="6" t="n"/>
      <c r="R18" s="6" t="n"/>
      <c r="S18" s="6" t="n"/>
      <c r="T18" s="6" t="n"/>
      <c r="U18" s="6" t="n"/>
      <c r="V18" s="6" t="n"/>
      <c r="W18" s="6" t="n"/>
    </row>
    <row r="19" ht="19.5" customHeight="1">
      <c r="B19" s="17" t="inlineStr">
        <is>
          <t>Ene 26 R</t>
        </is>
      </c>
      <c r="C19" s="21" t="n">
        <v>110.519200852</v>
      </c>
      <c r="D19" s="20">
        <f>C19/C18-1</f>
        <v/>
      </c>
      <c r="E19" s="6" t="n"/>
      <c r="F19" s="6" t="n"/>
      <c r="G19" s="6" t="n"/>
      <c r="H19" s="6" t="n"/>
      <c r="I19" s="6" t="n"/>
      <c r="J19" s="6" t="n"/>
      <c r="K19" s="6" t="n"/>
      <c r="L19" s="6" t="n"/>
      <c r="M19" s="6" t="n"/>
      <c r="N19" s="6" t="n"/>
      <c r="O19" s="6" t="n"/>
      <c r="P19" s="6" t="n"/>
      <c r="Q19" s="6" t="n"/>
      <c r="R19" s="6" t="n"/>
      <c r="S19" s="6" t="n"/>
      <c r="T19" s="6" t="n"/>
      <c r="U19" s="6" t="n"/>
      <c r="V19" s="6" t="n"/>
      <c r="W19" s="6" t="n"/>
    </row>
    <row r="20" ht="19.5" customHeight="1">
      <c r="B20" s="17" t="inlineStr">
        <is>
          <t>Feb 26 R</t>
        </is>
      </c>
      <c r="C20" s="21" t="n">
        <v>104.4568568234</v>
      </c>
      <c r="D20" s="20">
        <f>C20/C19-1</f>
        <v/>
      </c>
      <c r="E20" s="6" t="n"/>
      <c r="F20" s="6" t="n"/>
      <c r="G20" s="6" t="n"/>
      <c r="H20" s="6" t="n"/>
      <c r="I20" s="6" t="n"/>
      <c r="J20" s="6" t="n"/>
      <c r="K20" s="6" t="n"/>
      <c r="L20" s="6" t="n"/>
      <c r="M20" s="6" t="n"/>
      <c r="N20" s="6" t="n"/>
      <c r="O20" s="6" t="n"/>
      <c r="P20" s="6" t="n"/>
      <c r="Q20" s="6" t="n"/>
      <c r="R20" s="6" t="n"/>
      <c r="S20" s="6" t="n"/>
      <c r="T20" s="6" t="n"/>
      <c r="U20" s="6" t="n"/>
      <c r="V20" s="6" t="n"/>
      <c r="W20" s="6" t="n"/>
    </row>
    <row r="21" ht="19.5" customHeight="1">
      <c r="B21" s="17" t="inlineStr">
        <is>
          <t>Mar 26 P</t>
        </is>
      </c>
      <c r="C21" s="21" t="n">
        <v>113.5132947678</v>
      </c>
      <c r="D21" s="20">
        <f>C21/C20-1</f>
        <v/>
      </c>
      <c r="E21" s="6" t="n"/>
      <c r="F21" s="6" t="n"/>
      <c r="G21" s="6" t="n"/>
      <c r="H21" s="6" t="n"/>
      <c r="J21" s="6" t="n"/>
      <c r="K21" s="6" t="n"/>
      <c r="L21" s="6" t="n"/>
      <c r="M21" s="6" t="n"/>
      <c r="N21" s="6" t="n"/>
      <c r="O21" s="6" t="n"/>
      <c r="P21" s="6" t="n"/>
      <c r="Q21" s="6" t="n"/>
      <c r="R21" s="6" t="n"/>
      <c r="S21" s="6" t="n"/>
      <c r="T21" s="6" t="n"/>
      <c r="U21" s="6" t="n"/>
      <c r="V21" s="6" t="n"/>
      <c r="W21" s="6" t="n"/>
    </row>
    <row r="22" ht="19.5" customHeight="1">
      <c r="B22" s="6" t="n"/>
      <c r="C22" s="7" t="n"/>
      <c r="D22" s="6" t="n"/>
      <c r="E22" s="6" t="n"/>
      <c r="F22" s="6" t="n"/>
      <c r="G22" s="6" t="n"/>
      <c r="H22" s="6" t="n"/>
      <c r="I22" s="6" t="n"/>
      <c r="J22" s="6" t="n"/>
      <c r="K22" s="6" t="n"/>
      <c r="L22" s="6" t="n"/>
      <c r="M22" s="6" t="n"/>
      <c r="N22" s="6" t="n"/>
      <c r="O22" s="6" t="n"/>
      <c r="P22" s="6" t="n"/>
      <c r="Q22" s="6" t="n"/>
      <c r="R22" s="6" t="n"/>
      <c r="S22" s="6" t="n"/>
      <c r="T22" s="6" t="n"/>
      <c r="U22" s="6" t="n"/>
      <c r="V22" s="6" t="n"/>
      <c r="W22" s="6" t="n"/>
    </row>
    <row r="23" ht="19.5" customHeight="1">
      <c r="B23" s="25" t="inlineStr">
        <is>
          <t>R = Cifras revisadas</t>
        </is>
      </c>
      <c r="D23" s="6" t="n"/>
      <c r="E23" s="6" t="n"/>
      <c r="F23" s="6" t="n"/>
      <c r="G23" s="6" t="n"/>
      <c r="H23" s="6" t="n"/>
      <c r="I23" s="6" t="n"/>
      <c r="J23" s="6" t="n"/>
      <c r="K23" s="6" t="n"/>
      <c r="L23" s="6" t="n"/>
      <c r="M23" s="6" t="n"/>
      <c r="N23" s="6" t="n"/>
      <c r="O23" s="6" t="n"/>
      <c r="P23" s="6" t="n"/>
      <c r="Q23" s="6" t="n"/>
      <c r="R23" s="6" t="n"/>
      <c r="S23" s="6" t="n"/>
      <c r="T23" s="6" t="n"/>
      <c r="U23" s="6" t="n"/>
      <c r="V23" s="6" t="n"/>
      <c r="W23" s="6" t="n"/>
    </row>
    <row r="24" ht="19.5" customHeight="1">
      <c r="B24" s="25" t="inlineStr">
        <is>
          <t>P = Cifras preliminares</t>
        </is>
      </c>
      <c r="D24" s="6" t="n"/>
      <c r="E24" s="6" t="n"/>
      <c r="F24" s="6" t="n"/>
      <c r="G24" s="6" t="n"/>
      <c r="H24" s="6" t="n"/>
      <c r="I24" s="6" t="n"/>
      <c r="J24" s="6" t="n"/>
      <c r="K24" s="6" t="n"/>
      <c r="L24" s="6" t="n"/>
      <c r="M24" s="6" t="n"/>
      <c r="N24" s="6" t="n"/>
      <c r="O24" s="6" t="n"/>
      <c r="P24" s="6" t="n"/>
      <c r="Q24" s="6" t="n"/>
      <c r="R24" s="6" t="n"/>
      <c r="S24" s="6" t="n"/>
      <c r="T24" s="6" t="n"/>
      <c r="U24" s="6" t="n"/>
      <c r="V24" s="6" t="n"/>
      <c r="W24" s="6" t="n"/>
    </row>
    <row r="25" ht="19.5" customHeight="1">
      <c r="D25" s="6" t="n"/>
      <c r="E25" s="6" t="n"/>
      <c r="F25" s="6" t="n"/>
      <c r="G25" s="6" t="n"/>
      <c r="H25" s="6" t="n"/>
      <c r="I25" s="6" t="n"/>
      <c r="J25" s="6" t="n"/>
      <c r="K25" s="6" t="n"/>
      <c r="L25" s="6" t="n"/>
      <c r="M25" s="6" t="n"/>
      <c r="N25" s="6" t="n"/>
      <c r="O25" s="6" t="n"/>
      <c r="P25" s="6" t="n"/>
      <c r="Q25" s="6" t="n"/>
      <c r="R25" s="6" t="n"/>
      <c r="S25" s="6" t="n"/>
      <c r="T25" s="6" t="n"/>
      <c r="U25" s="6" t="n"/>
      <c r="V25" s="6" t="n"/>
      <c r="W25" s="6" t="n"/>
    </row>
    <row r="32" ht="106.5" customHeight="1">
      <c r="B32" s="50" t="inlineStr">
        <is>
          <t>Interpretación:
El Índice de Volumen Físico del Consumo Privado (línea verde) mide exclusivamente la cantidad real de bienes y servicios adquiridos por los hogares, eliminando el efecto de la inflación. Este indicador utiliza el promedio del consumo de 2018 como punto de referencia histórico, asignándole un valor base de 100 puntos. A lo largo de todo el periodo analizado, el índice se mantiene sólidamente por encima de este umbral, lo que refleja un nivel de gasto estructuralmente mayor al histórico.
La Variación Mensual (línea dorada) evalúa el ritmo y la dirección del gasto a muy corto plazo, comparando el desempeño de cada mes inmediatamente con el mes anterior. Los porcentajes positivos indican una aceleración en el consumo frente al mes pasado, mientras que los valores negativos reflejan un freno.</t>
        </is>
      </c>
    </row>
  </sheetData>
  <mergeCells count="7">
    <mergeCell ref="C3:P3"/>
    <mergeCell ref="C4:P4"/>
    <mergeCell ref="C6:P6"/>
    <mergeCell ref="C7:P7"/>
    <mergeCell ref="C2:P2"/>
    <mergeCell ref="B32:P32"/>
    <mergeCell ref="C5:P5"/>
  </mergeCells>
  <pageMargins left="0.7" right="0.7" top="0.75" bottom="0.75" header="0.3" footer="0.3"/>
  <pageSetup orientation="portrait"/>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B2:V44"/>
  <sheetViews>
    <sheetView zoomScaleNormal="100" workbookViewId="0">
      <selection activeCell="S22" sqref="S22"/>
    </sheetView>
  </sheetViews>
  <sheetFormatPr baseColWidth="10" defaultRowHeight="15"/>
  <cols>
    <col width="5.7109375" customWidth="1" min="1" max="1"/>
    <col width="15.7109375" customWidth="1" min="2" max="2"/>
    <col width="12.28515625" bestFit="1" customWidth="1" min="3" max="3"/>
    <col width="13.42578125" customWidth="1" min="4" max="4"/>
    <col width="13.7109375" customWidth="1" min="5" max="5"/>
    <col width="12.28515625" bestFit="1" customWidth="1" min="6" max="6"/>
    <col width="5.7109375" customWidth="1" min="7" max="7"/>
    <col width="12.28515625" bestFit="1" customWidth="1" min="8" max="13"/>
  </cols>
  <sheetData>
    <row r="2" ht="20.1" customHeight="1">
      <c r="B2" s="22" t="inlineStr">
        <is>
          <t xml:space="preserve">Nombre </t>
        </is>
      </c>
      <c r="C2" s="55" t="inlineStr">
        <is>
          <t xml:space="preserve">Inversión Extranjera Directa </t>
        </is>
      </c>
      <c r="D2" s="75" t="n"/>
      <c r="E2" s="75" t="n"/>
      <c r="F2" s="75" t="n"/>
      <c r="G2" s="75" t="n"/>
      <c r="H2" s="75" t="n"/>
      <c r="I2" s="75" t="n"/>
      <c r="J2" s="75" t="n"/>
      <c r="K2" s="75" t="n"/>
      <c r="L2" s="75" t="n"/>
      <c r="M2" s="75" t="n"/>
      <c r="N2" s="75" t="n"/>
      <c r="O2" s="75" t="n"/>
      <c r="P2" s="76" t="n"/>
    </row>
    <row r="3" ht="39.95" customHeight="1">
      <c r="B3" s="22" t="inlineStr">
        <is>
          <t>Descripción</t>
        </is>
      </c>
      <c r="C3" s="56" t="inlineStr">
        <is>
          <t>Inversión transfronteriza en la cual un residente de una economía (inversionista directo) adquiere el control o un grado significativo de influencia en la gestión de una empresa residente en otra economía</t>
        </is>
      </c>
      <c r="D3" s="75" t="n"/>
      <c r="E3" s="75" t="n"/>
      <c r="F3" s="75" t="n"/>
      <c r="G3" s="75" t="n"/>
      <c r="H3" s="75" t="n"/>
      <c r="I3" s="75" t="n"/>
      <c r="J3" s="75" t="n"/>
      <c r="K3" s="75" t="n"/>
      <c r="L3" s="75" t="n"/>
      <c r="M3" s="75" t="n"/>
      <c r="N3" s="75" t="n"/>
      <c r="O3" s="75" t="n"/>
      <c r="P3" s="76" t="n"/>
    </row>
    <row r="4" ht="20.1" customHeight="1">
      <c r="B4" s="22" t="inlineStr">
        <is>
          <t>Frecuencia</t>
        </is>
      </c>
      <c r="C4" s="55" t="inlineStr">
        <is>
          <t>Trimestral</t>
        </is>
      </c>
      <c r="D4" s="75" t="n"/>
      <c r="E4" s="75" t="n"/>
      <c r="F4" s="75" t="n"/>
      <c r="G4" s="75" t="n"/>
      <c r="H4" s="75" t="n"/>
      <c r="I4" s="75" t="n"/>
      <c r="J4" s="75" t="n"/>
      <c r="K4" s="75" t="n"/>
      <c r="L4" s="75" t="n"/>
      <c r="M4" s="75" t="n"/>
      <c r="N4" s="75" t="n"/>
      <c r="O4" s="75" t="n"/>
      <c r="P4" s="76" t="n"/>
    </row>
    <row r="5" ht="20.1" customHeight="1">
      <c r="B5" s="22" t="inlineStr">
        <is>
          <t>Publicación</t>
        </is>
      </c>
      <c r="C5" s="55" t="inlineStr">
        <is>
          <t>Aproximadamente 45 días posteriores al cierre del trimestre</t>
        </is>
      </c>
      <c r="D5" s="75" t="n"/>
      <c r="E5" s="75" t="n"/>
      <c r="F5" s="75" t="n"/>
      <c r="G5" s="75" t="n"/>
      <c r="H5" s="75" t="n"/>
      <c r="I5" s="75" t="n"/>
      <c r="J5" s="75" t="n"/>
      <c r="K5" s="75" t="n"/>
      <c r="L5" s="75" t="n"/>
      <c r="M5" s="75" t="n"/>
      <c r="N5" s="75" t="n"/>
      <c r="O5" s="75" t="n"/>
      <c r="P5" s="76" t="n"/>
    </row>
    <row r="6" ht="20.1" customHeight="1">
      <c r="B6" s="22" t="inlineStr">
        <is>
          <t>Próximo dato</t>
        </is>
      </c>
      <c r="C6" s="55" t="inlineStr">
        <is>
          <t>Mediados de agosto</t>
        </is>
      </c>
      <c r="D6" s="75" t="n"/>
      <c r="E6" s="75" t="n"/>
      <c r="F6" s="75" t="n"/>
      <c r="G6" s="75" t="n"/>
      <c r="H6" s="75" t="n"/>
      <c r="I6" s="75" t="n"/>
      <c r="J6" s="75" t="n"/>
      <c r="K6" s="75" t="n"/>
      <c r="L6" s="75" t="n"/>
      <c r="M6" s="75" t="n"/>
      <c r="N6" s="75" t="n"/>
      <c r="O6" s="75" t="n"/>
      <c r="P6" s="76" t="n"/>
    </row>
    <row r="7" ht="39.95" customHeight="1">
      <c r="B7" s="19" t="inlineStr">
        <is>
          <t>Fuente</t>
        </is>
      </c>
      <c r="C7" s="56" t="inlineStr">
        <is>
          <t xml:space="preserve"> Registro Nacional de Inversiones Extranjeras (RNIE). Secretaría de Economía</t>
        </is>
      </c>
      <c r="D7" s="75" t="n"/>
      <c r="E7" s="75" t="n"/>
      <c r="F7" s="75" t="n"/>
      <c r="G7" s="75" t="n"/>
      <c r="H7" s="75" t="n"/>
      <c r="I7" s="75" t="n"/>
      <c r="J7" s="75" t="n"/>
      <c r="K7" s="75" t="n"/>
      <c r="L7" s="75" t="n"/>
      <c r="M7" s="75" t="n"/>
      <c r="N7" s="75" t="n"/>
      <c r="O7" s="75" t="n"/>
      <c r="P7" s="76" t="n"/>
    </row>
    <row r="8" ht="15.75" customHeight="1">
      <c r="M8" s="54" t="n"/>
    </row>
    <row r="9" ht="51.75" customHeight="1">
      <c r="B9" s="10" t="inlineStr">
        <is>
          <t>Periodo</t>
        </is>
      </c>
      <c r="C9" s="8" t="inlineStr">
        <is>
          <t>IED total</t>
        </is>
      </c>
      <c r="D9" s="8" t="inlineStr">
        <is>
          <t>Nuevas  Inversiones</t>
        </is>
      </c>
      <c r="E9" s="14" t="inlineStr">
        <is>
          <t xml:space="preserve">Reinversión de utilidades </t>
        </is>
      </c>
      <c r="F9" s="14" t="inlineStr">
        <is>
          <t>Cuentas entre compañías</t>
        </is>
      </c>
    </row>
    <row r="10" ht="17.25" customHeight="1">
      <c r="B10" s="11" t="inlineStr">
        <is>
          <t>1T-21</t>
        </is>
      </c>
      <c r="C10" s="71" t="n">
        <v>11864.03046282</v>
      </c>
      <c r="D10" s="71" t="n">
        <v>2209.41801316</v>
      </c>
      <c r="E10" s="71" t="n">
        <v>7025.211256549997</v>
      </c>
      <c r="F10" s="71" t="n">
        <v>2629.401193109997</v>
      </c>
      <c r="G10" s="77" t="n"/>
    </row>
    <row r="11" ht="17.25" customHeight="1">
      <c r="B11" s="11" t="inlineStr">
        <is>
          <t>2T-21</t>
        </is>
      </c>
      <c r="C11" s="71" t="n">
        <v>18433.46954255985</v>
      </c>
      <c r="D11" s="71" t="n">
        <v>6025.000693990005</v>
      </c>
      <c r="E11" s="71" t="n">
        <v>8658.214019469988</v>
      </c>
      <c r="F11" s="71" t="n">
        <v>3750.254829099993</v>
      </c>
      <c r="G11" s="77" t="n"/>
    </row>
    <row r="12" ht="17.25" customHeight="1">
      <c r="B12" s="11" t="inlineStr">
        <is>
          <t>3T-21</t>
        </is>
      </c>
      <c r="C12" s="71" t="n">
        <v>24831.72427092007</v>
      </c>
      <c r="D12" s="71" t="n">
        <v>9544.62750515</v>
      </c>
      <c r="E12" s="71" t="n">
        <v>9999.422711059975</v>
      </c>
      <c r="F12" s="71" t="n">
        <v>5287.674054709976</v>
      </c>
      <c r="G12" s="77" t="n"/>
      <c r="O12" s="78" t="n"/>
    </row>
    <row r="13" ht="17.25" customHeight="1">
      <c r="B13" s="11" t="inlineStr">
        <is>
          <t>4T-21</t>
        </is>
      </c>
      <c r="C13" s="71" t="n">
        <v>31621.20435087015</v>
      </c>
      <c r="D13" s="71" t="n">
        <v>13825.30166943996</v>
      </c>
      <c r="E13" s="71" t="n">
        <v>12213.01206093998</v>
      </c>
      <c r="F13" s="71" t="n">
        <v>5582.890620490009</v>
      </c>
      <c r="G13" s="77" t="n"/>
    </row>
    <row r="14" ht="17.25" customHeight="1">
      <c r="B14" s="11" t="inlineStr">
        <is>
          <t>1T-22</t>
        </is>
      </c>
      <c r="C14" s="71" t="n">
        <v>19427.45778673005</v>
      </c>
      <c r="D14" s="71" t="n">
        <v>8792.209679979997</v>
      </c>
      <c r="E14" s="71" t="n">
        <v>9259.124450750005</v>
      </c>
      <c r="F14" s="71" t="n">
        <v>1376.123655999997</v>
      </c>
      <c r="G14" s="77" t="n"/>
    </row>
    <row r="15" ht="17.25" customHeight="1">
      <c r="B15" s="11" t="inlineStr">
        <is>
          <t>2T-22</t>
        </is>
      </c>
      <c r="C15" s="71" t="n">
        <v>27511.62373282995</v>
      </c>
      <c r="D15" s="71" t="n">
        <v>11836.52779014</v>
      </c>
      <c r="E15" s="71" t="n">
        <v>11655.60546753999</v>
      </c>
      <c r="F15" s="71" t="n">
        <v>4019.490475149998</v>
      </c>
      <c r="G15" s="77" t="n"/>
    </row>
    <row r="16" ht="17.25" customHeight="1">
      <c r="B16" s="11" t="inlineStr">
        <is>
          <t>3T-22</t>
        </is>
      </c>
      <c r="C16" s="71" t="n">
        <v>32147.38886485986</v>
      </c>
      <c r="D16" s="71" t="n">
        <v>14519.88582904002</v>
      </c>
      <c r="E16" s="71" t="n">
        <v>14052.15139102999</v>
      </c>
      <c r="F16" s="71" t="n">
        <v>3575.351644790012</v>
      </c>
      <c r="G16" s="77" t="n"/>
    </row>
    <row r="17" ht="17.25" customHeight="1">
      <c r="B17" s="11" t="inlineStr">
        <is>
          <t>4T-22</t>
        </is>
      </c>
      <c r="C17" s="71" t="n">
        <v>35291.61835650035</v>
      </c>
      <c r="D17" s="71" t="n">
        <v>16993.09777798016</v>
      </c>
      <c r="E17" s="71" t="n">
        <v>16027.79041017376</v>
      </c>
      <c r="F17" s="71" t="n">
        <v>2270.730168346636</v>
      </c>
      <c r="G17" s="77" t="n"/>
    </row>
    <row r="18" ht="17.25" customHeight="1">
      <c r="B18" s="11" t="inlineStr">
        <is>
          <t>1T-23</t>
        </is>
      </c>
      <c r="C18" s="71" t="n">
        <v>18635.69179056182</v>
      </c>
      <c r="D18" s="71" t="n">
        <v>931.6891732793321</v>
      </c>
      <c r="E18" s="71" t="n">
        <v>16704.7085712238</v>
      </c>
      <c r="F18" s="71" t="n">
        <v>999.2940460586948</v>
      </c>
      <c r="G18" s="77" t="n"/>
    </row>
    <row r="19" ht="17.25" customHeight="1">
      <c r="B19" s="11" t="inlineStr">
        <is>
          <t>2T-23</t>
        </is>
      </c>
      <c r="C19" s="71" t="n">
        <v>29040.8238745911</v>
      </c>
      <c r="D19" s="71" t="n">
        <v>2135.168038952664</v>
      </c>
      <c r="E19" s="71" t="n">
        <v>22608.62151171782</v>
      </c>
      <c r="F19" s="71" t="n">
        <v>4297.034323920598</v>
      </c>
      <c r="G19" s="77" t="n"/>
    </row>
    <row r="20" ht="17.25" customHeight="1">
      <c r="B20" s="11" t="inlineStr">
        <is>
          <t>3T-23</t>
        </is>
      </c>
      <c r="C20" s="71" t="n">
        <v>32926.43680025823</v>
      </c>
      <c r="D20" s="71" t="n">
        <v>2806.241495010777</v>
      </c>
      <c r="E20" s="71" t="n">
        <v>24905.19143529355</v>
      </c>
      <c r="F20" s="71" t="n">
        <v>5215.003869953881</v>
      </c>
      <c r="G20" s="77" t="n"/>
    </row>
    <row r="21" ht="17.25" customHeight="1">
      <c r="B21" s="11" t="inlineStr">
        <is>
          <t>4T-23</t>
        </is>
      </c>
      <c r="C21" s="71" t="n">
        <v>36058.04377568115</v>
      </c>
      <c r="D21" s="71" t="n">
        <v>4817.437436025721</v>
      </c>
      <c r="E21" s="71" t="n">
        <v>26630.61271059473</v>
      </c>
      <c r="F21" s="71" t="n">
        <v>4609.993629060474</v>
      </c>
      <c r="G21" s="77" t="n"/>
    </row>
    <row r="22" ht="17.25" customHeight="1">
      <c r="B22" s="11" t="inlineStr">
        <is>
          <t>1T-24</t>
        </is>
      </c>
      <c r="C22" s="71" t="n">
        <v>20312.65875078067</v>
      </c>
      <c r="D22" s="71" t="n">
        <v>599.3244456864041</v>
      </c>
      <c r="E22" s="71" t="n">
        <v>19614.77618673003</v>
      </c>
      <c r="F22" s="71" t="n">
        <v>98.5581183642047</v>
      </c>
      <c r="G22" s="77" t="n"/>
    </row>
    <row r="23" ht="17.25" customHeight="1">
      <c r="B23" s="11" t="inlineStr">
        <is>
          <t>2T-24</t>
        </is>
      </c>
      <c r="C23" s="71" t="n">
        <v>31096.32510957158</v>
      </c>
      <c r="D23" s="71" t="n">
        <v>909.3070721249387</v>
      </c>
      <c r="E23" s="71" t="n">
        <v>30287.60301161498</v>
      </c>
      <c r="F23" s="71" t="n">
        <v>-100.5849741683989</v>
      </c>
      <c r="G23" s="77" t="n"/>
    </row>
    <row r="24" ht="17.25" customHeight="1">
      <c r="B24" s="11" t="inlineStr">
        <is>
          <t>3T-24</t>
        </is>
      </c>
      <c r="C24" s="71" t="n">
        <v>35737.48954061164</v>
      </c>
      <c r="D24" s="71" t="n">
        <v>2060.368951658199</v>
      </c>
      <c r="E24" s="71" t="n">
        <v>30744.83932329829</v>
      </c>
      <c r="F24" s="71" t="n">
        <v>2932.281265655119</v>
      </c>
      <c r="G24" s="77" t="n"/>
    </row>
    <row r="25" ht="17.25" customHeight="1">
      <c r="B25" s="11" t="inlineStr">
        <is>
          <t>4T-24</t>
        </is>
      </c>
      <c r="C25" s="71" t="n">
        <v>36872.42195115965</v>
      </c>
      <c r="D25" s="71" t="n">
        <v>3168.543654846584</v>
      </c>
      <c r="E25" s="71" t="n">
        <v>28710.3148665372</v>
      </c>
      <c r="F25" s="71" t="n">
        <v>4993.563429775793</v>
      </c>
      <c r="G25" s="77" t="n"/>
    </row>
    <row r="26" ht="17.25" customHeight="1">
      <c r="B26" s="11" t="inlineStr">
        <is>
          <t>1T-25</t>
        </is>
      </c>
      <c r="C26" s="71" t="n">
        <v>21373.19310550217</v>
      </c>
      <c r="D26" s="71" t="n">
        <v>1586.396284871034</v>
      </c>
      <c r="E26" s="71" t="n">
        <v>16646.99308879533</v>
      </c>
      <c r="F26" s="71" t="n">
        <v>3139.80373183581</v>
      </c>
      <c r="G26" s="77" t="n"/>
    </row>
    <row r="27" ht="17.25" customHeight="1">
      <c r="B27" s="11" t="inlineStr">
        <is>
          <t>2T-25</t>
        </is>
      </c>
      <c r="C27" s="71" t="n">
        <v>34264.56746296593</v>
      </c>
      <c r="D27" s="71" t="n">
        <v>3148.538441297729</v>
      </c>
      <c r="E27" s="71" t="n">
        <v>28914.10863011177</v>
      </c>
      <c r="F27" s="71" t="n">
        <v>2201.920391556331</v>
      </c>
      <c r="G27" s="77" t="n"/>
    </row>
    <row r="28" ht="17.25" customHeight="1">
      <c r="B28" s="11" t="inlineStr">
        <is>
          <t>3T-25</t>
        </is>
      </c>
      <c r="C28" s="71" t="n">
        <v>40905.61371637016</v>
      </c>
      <c r="D28" s="71" t="n">
        <v>6563.38012553143</v>
      </c>
      <c r="E28" s="71" t="n">
        <v>27748.84216433168</v>
      </c>
      <c r="F28" s="71" t="n">
        <v>6593.391426507059</v>
      </c>
      <c r="G28" s="77" t="n"/>
    </row>
    <row r="29" ht="17.25" customHeight="1">
      <c r="B29" s="11" t="inlineStr">
        <is>
          <t>4T-25</t>
        </is>
      </c>
      <c r="C29" s="71" t="n">
        <v>40870.76932803365</v>
      </c>
      <c r="D29" s="71" t="n">
        <v>7377.426584413343</v>
      </c>
      <c r="E29" s="71" t="n">
        <v>27649.33990823308</v>
      </c>
      <c r="F29" s="71" t="n">
        <v>5844.002835387397</v>
      </c>
      <c r="G29" s="77" t="n"/>
    </row>
    <row r="30" ht="17.25" customHeight="1">
      <c r="B30" s="11" t="inlineStr">
        <is>
          <t>1T-26</t>
        </is>
      </c>
      <c r="C30" s="71" t="n">
        <v>23590.62204554513</v>
      </c>
      <c r="D30" s="71" t="n">
        <v>1705.227100742525</v>
      </c>
      <c r="E30" s="71" t="n">
        <v>22221.50597185501</v>
      </c>
      <c r="F30" s="71" t="n">
        <v>-336.1110270523728</v>
      </c>
      <c r="G30" s="77" t="n"/>
    </row>
    <row r="36">
      <c r="N36" t="inlineStr">
        <is>
          <t>s</t>
        </is>
      </c>
    </row>
    <row r="44" ht="19.5" customHeight="1">
      <c r="B44" s="79" t="n">
        <v>11864.03046281999</v>
      </c>
      <c r="C44" s="80" t="n">
        <v>18433.46954255985</v>
      </c>
      <c r="D44" s="80" t="n">
        <v>24831.72427092007</v>
      </c>
      <c r="E44" s="81" t="n">
        <v>31621.20435087015</v>
      </c>
      <c r="F44" s="79" t="n">
        <v>19427.45778673005</v>
      </c>
      <c r="G44" s="80" t="n">
        <v>27511.62373282995</v>
      </c>
      <c r="H44" s="80" t="n">
        <v>32147.38886485986</v>
      </c>
      <c r="I44" s="81" t="n">
        <v>35291.61835650035</v>
      </c>
      <c r="J44" s="79" t="n">
        <v>18635.69179056182</v>
      </c>
      <c r="K44" s="80" t="n">
        <v>29040.8238745911</v>
      </c>
      <c r="L44" s="80" t="n">
        <v>32926.43680025823</v>
      </c>
      <c r="M44" s="81" t="n">
        <v>36058.04377568115</v>
      </c>
      <c r="N44" s="79" t="n">
        <v>20312.65875078067</v>
      </c>
      <c r="O44" s="80" t="n">
        <v>31096.32510957158</v>
      </c>
      <c r="P44" s="80" t="n">
        <v>35737.48954061164</v>
      </c>
      <c r="Q44" s="81" t="n">
        <v>36872.42195115965</v>
      </c>
      <c r="R44" s="80" t="n">
        <v>21373.19310550217</v>
      </c>
      <c r="S44" s="80" t="n">
        <v>34264.56746296593</v>
      </c>
      <c r="T44" s="80" t="n">
        <v>40905.61371637016</v>
      </c>
      <c r="U44" s="81" t="n">
        <v>40870.76932803365</v>
      </c>
      <c r="V44" s="80" t="n">
        <v>23590.62204554513</v>
      </c>
    </row>
  </sheetData>
  <mergeCells count="7">
    <mergeCell ref="C3:P3"/>
    <mergeCell ref="C4:P4"/>
    <mergeCell ref="C6:P6"/>
    <mergeCell ref="M8:V8"/>
    <mergeCell ref="C2:P2"/>
    <mergeCell ref="C7:P7"/>
    <mergeCell ref="C5:P5"/>
  </mergeCells>
  <pageMargins left="0.7" right="0.7" top="0.75" bottom="0.75" header="0.3" footer="0.3"/>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B2:R23"/>
  <sheetViews>
    <sheetView workbookViewId="0">
      <selection activeCell="S11" sqref="S11"/>
    </sheetView>
  </sheetViews>
  <sheetFormatPr baseColWidth="10" defaultRowHeight="15"/>
  <cols>
    <col width="5.7109375" customWidth="1" min="1" max="1"/>
    <col width="17" bestFit="1" customWidth="1" min="2" max="2"/>
    <col width="13.28515625" customWidth="1" style="5" min="3" max="4"/>
    <col width="5.7109375" customWidth="1" min="5" max="5"/>
  </cols>
  <sheetData>
    <row r="2" ht="20.1" customHeight="1">
      <c r="B2" s="18" t="inlineStr">
        <is>
          <t xml:space="preserve">Nombre </t>
        </is>
      </c>
      <c r="C2" s="57" t="inlineStr">
        <is>
          <t>Tasa de desocupación nacional</t>
        </is>
      </c>
      <c r="D2" s="67" t="n"/>
      <c r="E2" s="67" t="n"/>
      <c r="F2" s="67" t="n"/>
      <c r="G2" s="67" t="n"/>
      <c r="H2" s="67" t="n"/>
      <c r="I2" s="67" t="n"/>
      <c r="J2" s="67" t="n"/>
      <c r="K2" s="67" t="n"/>
      <c r="L2" s="67" t="n"/>
      <c r="M2" s="67" t="n"/>
      <c r="N2" s="67" t="n"/>
      <c r="O2" s="67" t="n"/>
      <c r="P2" s="68" t="n"/>
    </row>
    <row r="3" ht="39.95" customHeight="1">
      <c r="B3" s="18" t="inlineStr">
        <is>
          <t>Descripción</t>
        </is>
      </c>
      <c r="C3" s="69" t="inlineStr">
        <is>
          <t>Mide la proporción de la fuerza de trabajo que se encuentra sin empleo pero en búsqueda activa del mismo. Personas desocupadas: son personas de 15 años o más que no trabajaron en la semana de referencia, estaban disponibles para trabajar y realizaron actividades de búsqueda de empleo en las semanas previas.</t>
        </is>
      </c>
      <c r="D3" s="67" t="n"/>
      <c r="E3" s="67" t="n"/>
      <c r="F3" s="67" t="n"/>
      <c r="G3" s="67" t="n"/>
      <c r="H3" s="67" t="n"/>
      <c r="I3" s="67" t="n"/>
      <c r="J3" s="67" t="n"/>
      <c r="K3" s="67" t="n"/>
      <c r="L3" s="67" t="n"/>
      <c r="M3" s="67" t="n"/>
      <c r="N3" s="67" t="n"/>
      <c r="O3" s="67" t="n"/>
      <c r="P3" s="68" t="n"/>
    </row>
    <row r="4" ht="20.1" customHeight="1">
      <c r="B4" s="18" t="inlineStr">
        <is>
          <t>Frecuencia</t>
        </is>
      </c>
      <c r="C4" s="57" t="inlineStr">
        <is>
          <t>Mensual</t>
        </is>
      </c>
      <c r="D4" s="67" t="n"/>
      <c r="E4" s="67" t="n"/>
      <c r="F4" s="67" t="n"/>
      <c r="G4" s="67" t="n"/>
      <c r="H4" s="67" t="n"/>
      <c r="I4" s="67" t="n"/>
      <c r="J4" s="67" t="n"/>
      <c r="K4" s="67" t="n"/>
      <c r="L4" s="67" t="n"/>
      <c r="M4" s="67" t="n"/>
      <c r="N4" s="67" t="n"/>
      <c r="O4" s="67" t="n"/>
      <c r="P4" s="68" t="n"/>
    </row>
    <row r="5" ht="20.1" customHeight="1">
      <c r="B5" s="18" t="inlineStr">
        <is>
          <t>Publicación</t>
        </is>
      </c>
      <c r="C5" s="41" t="inlineStr">
        <is>
          <t>Aproximadamente 25-30 días después de haber concluido el mes</t>
        </is>
      </c>
      <c r="D5" s="67" t="n"/>
      <c r="E5" s="67" t="n"/>
      <c r="F5" s="67" t="n"/>
      <c r="G5" s="67" t="n"/>
      <c r="H5" s="67" t="n"/>
      <c r="I5" s="67" t="n"/>
      <c r="J5" s="67" t="n"/>
      <c r="K5" s="67" t="n"/>
      <c r="L5" s="67" t="n"/>
      <c r="M5" s="67" t="n"/>
      <c r="N5" s="67" t="n"/>
      <c r="O5" s="67" t="n"/>
      <c r="P5" s="67" t="n"/>
      <c r="Q5" s="67" t="n"/>
      <c r="R5" s="68" t="n"/>
    </row>
    <row r="6" ht="20.1" customHeight="1">
      <c r="B6" s="18" t="inlineStr">
        <is>
          <t>Próximo dato</t>
        </is>
      </c>
      <c r="C6" s="59" t="n"/>
      <c r="D6" s="70" t="n"/>
      <c r="E6" s="70" t="n"/>
      <c r="F6" s="70" t="n"/>
      <c r="G6" s="70" t="n"/>
      <c r="H6" s="70" t="n"/>
      <c r="I6" s="70" t="n"/>
      <c r="J6" s="70" t="n"/>
      <c r="K6" s="70" t="n"/>
      <c r="L6" s="70" t="n"/>
      <c r="M6" s="70" t="n"/>
      <c r="N6" s="70" t="n"/>
      <c r="O6" s="70" t="n"/>
      <c r="P6" s="74" t="n"/>
    </row>
    <row r="7" ht="39.95" customHeight="1">
      <c r="B7" s="19" t="inlineStr">
        <is>
          <t>Fuente</t>
        </is>
      </c>
      <c r="C7" s="56" t="inlineStr">
        <is>
          <t xml:space="preserve"> INEGI:
https://www.oecd.org/es/data/indicators/unemployment-rate.html</t>
        </is>
      </c>
      <c r="D7" s="75" t="n"/>
      <c r="E7" s="75" t="n"/>
      <c r="F7" s="75" t="n"/>
      <c r="G7" s="75" t="n"/>
      <c r="H7" s="75" t="n"/>
      <c r="I7" s="75" t="n"/>
      <c r="J7" s="75" t="n"/>
      <c r="K7" s="75" t="n"/>
      <c r="L7" s="75" t="n"/>
      <c r="M7" s="75" t="n"/>
      <c r="N7" s="75" t="n"/>
      <c r="O7" s="75" t="n"/>
      <c r="P7" s="76" t="n"/>
    </row>
    <row r="9" ht="17.25" customHeight="1">
      <c r="B9" s="10" t="inlineStr">
        <is>
          <t>Periodo</t>
        </is>
      </c>
      <c r="C9" s="10" t="inlineStr">
        <is>
          <t>Tasa</t>
        </is>
      </c>
      <c r="D9" s="16" t="inlineStr">
        <is>
          <t>OCDE</t>
        </is>
      </c>
    </row>
    <row r="10" ht="17.25" customHeight="1">
      <c r="B10" s="17" t="inlineStr">
        <is>
          <t>Jun 25</t>
        </is>
      </c>
      <c r="C10" s="34" t="n">
        <v>0.026</v>
      </c>
      <c r="D10" s="34" t="n">
        <v>0.049</v>
      </c>
    </row>
    <row r="11" ht="17.25" customHeight="1">
      <c r="B11" s="17" t="inlineStr">
        <is>
          <t>Jul 25</t>
        </is>
      </c>
      <c r="C11" s="34" t="n">
        <v>0.026</v>
      </c>
      <c r="D11" s="34" t="n">
        <v>0.049</v>
      </c>
    </row>
    <row r="12" ht="17.25" customHeight="1">
      <c r="B12" s="17" t="inlineStr">
        <is>
          <t>Ago 25</t>
        </is>
      </c>
      <c r="C12" s="34" t="n">
        <v>0.027</v>
      </c>
      <c r="D12" s="34" t="n">
        <v>0.049</v>
      </c>
    </row>
    <row r="13" ht="17.25" customHeight="1">
      <c r="B13" s="17" t="inlineStr">
        <is>
          <t>Sep 25</t>
        </is>
      </c>
      <c r="C13" s="34" t="n">
        <v>0.027</v>
      </c>
      <c r="D13" s="34" t="n">
        <v>0.049</v>
      </c>
    </row>
    <row r="14" ht="17.25" customHeight="1">
      <c r="B14" s="17" t="inlineStr">
        <is>
          <t>Oct 25</t>
        </is>
      </c>
      <c r="C14" s="34" t="n">
        <v>0.026</v>
      </c>
      <c r="D14" s="34" t="n">
        <v>0.049</v>
      </c>
    </row>
    <row r="15" ht="17.25" customHeight="1">
      <c r="B15" s="17" t="inlineStr">
        <is>
          <t>Nov 25</t>
        </is>
      </c>
      <c r="C15" s="34" t="n">
        <v>0.027</v>
      </c>
      <c r="D15" s="34" t="n">
        <v>0.049</v>
      </c>
    </row>
    <row r="16" ht="17.25" customHeight="1">
      <c r="B16" s="17" t="inlineStr">
        <is>
          <t>Dic 25</t>
        </is>
      </c>
      <c r="C16" s="34" t="n">
        <v>0.026</v>
      </c>
      <c r="D16" s="34" t="n">
        <v>0.049</v>
      </c>
    </row>
    <row r="17" ht="17.25" customHeight="1">
      <c r="B17" s="17" t="inlineStr">
        <is>
          <t>Ene 26</t>
        </is>
      </c>
      <c r="C17" s="34" t="n">
        <v>0.026</v>
      </c>
      <c r="D17" s="34" t="n">
        <v>0.049</v>
      </c>
    </row>
    <row r="18" ht="17.25" customHeight="1">
      <c r="B18" s="17" t="inlineStr">
        <is>
          <t>Feb 26</t>
        </is>
      </c>
      <c r="C18" s="34" t="n">
        <v>0.027</v>
      </c>
      <c r="D18" s="34" t="n">
        <v>0.049</v>
      </c>
    </row>
    <row r="19" ht="17.25" customHeight="1">
      <c r="B19" s="17" t="inlineStr">
        <is>
          <t>Mar 26</t>
        </is>
      </c>
      <c r="C19" s="34" t="n">
        <v>0.028</v>
      </c>
      <c r="D19" s="34" t="n">
        <v>0.049</v>
      </c>
    </row>
    <row r="20" ht="17.25" customHeight="1">
      <c r="B20" s="17" t="inlineStr">
        <is>
          <t>Abr 26</t>
        </is>
      </c>
      <c r="C20" s="34" t="n">
        <v>0.026</v>
      </c>
      <c r="D20" s="34" t="n">
        <v>0.049</v>
      </c>
    </row>
    <row r="21" ht="17.25" customHeight="1">
      <c r="B21" s="17" t="inlineStr">
        <is>
          <t>May 26</t>
        </is>
      </c>
      <c r="C21" s="34" t="n">
        <v>0.027</v>
      </c>
      <c r="D21" s="34" t="n">
        <v>0.049</v>
      </c>
    </row>
    <row r="23">
      <c r="B23" t="inlineStr">
        <is>
          <t>* Cifras oportunas</t>
        </is>
      </c>
    </row>
  </sheetData>
  <mergeCells count="6">
    <mergeCell ref="C5:R5"/>
    <mergeCell ref="C3:P3"/>
    <mergeCell ref="C4:P4"/>
    <mergeCell ref="C6:P6"/>
    <mergeCell ref="C7:P7"/>
    <mergeCell ref="C2:P2"/>
  </mergeCells>
  <pageMargins left="0.7" right="0.7" top="0.75" bottom="0.75" header="0.3" footer="0.3"/>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B2:R21"/>
  <sheetViews>
    <sheetView workbookViewId="0">
      <selection activeCell="E27" sqref="E27"/>
    </sheetView>
  </sheetViews>
  <sheetFormatPr baseColWidth="10" defaultRowHeight="15"/>
  <cols>
    <col width="5.7109375" customWidth="1" min="1" max="1"/>
    <col width="15.7109375" customWidth="1" min="2" max="2"/>
    <col width="12" bestFit="1" customWidth="1" style="5" min="3" max="3"/>
    <col width="12" customWidth="1" style="5" min="4" max="4"/>
    <col width="15" bestFit="1" customWidth="1" style="5" min="5" max="5"/>
    <col width="8.42578125" bestFit="1" customWidth="1" style="5" min="6" max="6"/>
    <col width="5.7109375" customWidth="1" min="7" max="7"/>
  </cols>
  <sheetData>
    <row r="2" ht="20.1" customHeight="1">
      <c r="B2" s="18" t="inlineStr">
        <is>
          <t xml:space="preserve">Nombre </t>
        </is>
      </c>
      <c r="C2" s="41" t="inlineStr">
        <is>
          <t>Índice Nacional de Precios al Consumidor (INPC)</t>
        </is>
      </c>
      <c r="D2" s="67" t="n"/>
      <c r="E2" s="67" t="n"/>
      <c r="F2" s="67" t="n"/>
      <c r="G2" s="67" t="n"/>
      <c r="H2" s="67" t="n"/>
      <c r="I2" s="67" t="n"/>
      <c r="J2" s="67" t="n"/>
      <c r="K2" s="67" t="n"/>
      <c r="L2" s="67" t="n"/>
      <c r="M2" s="67" t="n"/>
      <c r="N2" s="67" t="n"/>
      <c r="O2" s="67" t="n"/>
      <c r="P2" s="67" t="n"/>
      <c r="Q2" s="67" t="n"/>
      <c r="R2" s="68" t="n"/>
    </row>
    <row r="3" ht="39.95" customHeight="1">
      <c r="B3" s="18" t="inlineStr">
        <is>
          <t>Descripción</t>
        </is>
      </c>
      <c r="C3" s="47" t="inlineStr">
        <is>
          <t>Mide la trayectoria agregada de los precios de una canasta de bienes y servicios representativa del consumo de las familias mexicanas. Su objetivo principal es cuantificar la inflación, definida como el aumento sostenido y generalizado de los precios a lo largo del tiempo.</t>
        </is>
      </c>
      <c r="D3" s="67" t="n"/>
      <c r="E3" s="67" t="n"/>
      <c r="F3" s="67" t="n"/>
      <c r="G3" s="67" t="n"/>
      <c r="H3" s="67" t="n"/>
      <c r="I3" s="67" t="n"/>
      <c r="J3" s="67" t="n"/>
      <c r="K3" s="67" t="n"/>
      <c r="L3" s="67" t="n"/>
      <c r="M3" s="67" t="n"/>
      <c r="N3" s="67" t="n"/>
      <c r="O3" s="67" t="n"/>
      <c r="P3" s="67" t="n"/>
      <c r="Q3" s="67" t="n"/>
      <c r="R3" s="68" t="n"/>
    </row>
    <row r="4" ht="20.1" customHeight="1">
      <c r="B4" s="18" t="inlineStr">
        <is>
          <t>Frecuencia</t>
        </is>
      </c>
      <c r="C4" s="41" t="inlineStr">
        <is>
          <t>Mensual</t>
        </is>
      </c>
      <c r="D4" s="67" t="n"/>
      <c r="E4" s="67" t="n"/>
      <c r="F4" s="67" t="n"/>
      <c r="G4" s="67" t="n"/>
      <c r="H4" s="67" t="n"/>
      <c r="I4" s="67" t="n"/>
      <c r="J4" s="67" t="n"/>
      <c r="K4" s="67" t="n"/>
      <c r="L4" s="67" t="n"/>
      <c r="M4" s="67" t="n"/>
      <c r="N4" s="67" t="n"/>
      <c r="O4" s="67" t="n"/>
      <c r="P4" s="67" t="n"/>
      <c r="Q4" s="67" t="n"/>
      <c r="R4" s="68" t="n"/>
    </row>
    <row r="5" ht="20.1" customHeight="1">
      <c r="B5" s="18" t="inlineStr">
        <is>
          <t>Publicación</t>
        </is>
      </c>
      <c r="C5" s="41" t="n"/>
      <c r="D5" s="67" t="n"/>
      <c r="E5" s="67" t="n"/>
      <c r="F5" s="67" t="n"/>
      <c r="G5" s="67" t="n"/>
      <c r="H5" s="67" t="n"/>
      <c r="I5" s="67" t="n"/>
      <c r="J5" s="67" t="n"/>
      <c r="K5" s="67" t="n"/>
      <c r="L5" s="67" t="n"/>
      <c r="M5" s="67" t="n"/>
      <c r="N5" s="67" t="n"/>
      <c r="O5" s="67" t="n"/>
      <c r="P5" s="67" t="n"/>
      <c r="Q5" s="67" t="n"/>
      <c r="R5" s="68" t="n"/>
    </row>
    <row r="6" ht="20.1" customHeight="1">
      <c r="B6" s="18" t="inlineStr">
        <is>
          <t>Próximo dato</t>
        </is>
      </c>
      <c r="C6" s="41" t="n"/>
      <c r="D6" s="67" t="n"/>
      <c r="E6" s="67" t="n"/>
      <c r="F6" s="67" t="n"/>
      <c r="G6" s="67" t="n"/>
      <c r="H6" s="67" t="n"/>
      <c r="I6" s="67" t="n"/>
      <c r="J6" s="67" t="n"/>
      <c r="K6" s="67" t="n"/>
      <c r="L6" s="67" t="n"/>
      <c r="M6" s="67" t="n"/>
      <c r="N6" s="67" t="n"/>
      <c r="O6" s="67" t="n"/>
      <c r="P6" s="67" t="n"/>
      <c r="Q6" s="67" t="n"/>
      <c r="R6" s="68" t="n"/>
    </row>
    <row r="7" ht="39.95" customHeight="1">
      <c r="B7" s="19" t="inlineStr">
        <is>
          <t>Fuente</t>
        </is>
      </c>
      <c r="C7" s="43" t="inlineStr">
        <is>
          <t>INEGI 
https://www.inegi.org.mx/temas/inpc/</t>
        </is>
      </c>
      <c r="D7" s="70" t="n"/>
      <c r="E7" s="70" t="n"/>
      <c r="F7" s="70" t="n"/>
      <c r="G7" s="70" t="n"/>
      <c r="H7" s="70" t="n"/>
      <c r="I7" s="70" t="n"/>
      <c r="J7" s="70" t="n"/>
      <c r="K7" s="70" t="n"/>
      <c r="L7" s="70" t="n"/>
      <c r="M7" s="70" t="n"/>
      <c r="N7" s="70" t="n"/>
      <c r="O7" s="70" t="n"/>
      <c r="P7" s="70" t="n"/>
      <c r="Q7" s="70" t="n"/>
      <c r="R7" s="70" t="n"/>
    </row>
    <row r="8" ht="20.1" customHeight="1"/>
    <row r="9" ht="17.25" customHeight="1">
      <c r="B9" s="13" t="inlineStr">
        <is>
          <t>Mes</t>
        </is>
      </c>
      <c r="C9" s="26" t="inlineStr">
        <is>
          <t>Inflación</t>
        </is>
      </c>
      <c r="D9" s="26" t="inlineStr">
        <is>
          <t>Subyacente</t>
        </is>
      </c>
      <c r="E9" s="26" t="inlineStr">
        <is>
          <t>No subyacente</t>
        </is>
      </c>
      <c r="F9" s="35" t="inlineStr">
        <is>
          <t>Banxico</t>
        </is>
      </c>
    </row>
    <row r="10" ht="17.25" customHeight="1">
      <c r="B10" s="27" t="inlineStr">
        <is>
          <t>Jun 25</t>
        </is>
      </c>
      <c r="C10" s="12" t="n">
        <v>4.32</v>
      </c>
      <c r="D10" s="5" t="n">
        <v>4.24</v>
      </c>
      <c r="E10" s="5" t="n">
        <v>4.33</v>
      </c>
      <c r="F10" s="36" t="n">
        <v>3</v>
      </c>
    </row>
    <row r="11" ht="17.25" customHeight="1">
      <c r="B11" s="27" t="inlineStr">
        <is>
          <t>Jul 25</t>
        </is>
      </c>
      <c r="C11" s="12" t="n">
        <v>3.51</v>
      </c>
      <c r="D11" s="5" t="n">
        <v>4.23</v>
      </c>
      <c r="E11" s="5" t="n">
        <v>1.14</v>
      </c>
      <c r="F11" s="36" t="n">
        <v>3</v>
      </c>
    </row>
    <row r="12" ht="17.25" customHeight="1">
      <c r="B12" s="27" t="inlineStr">
        <is>
          <t>Ago 25</t>
        </is>
      </c>
      <c r="C12" s="12" t="n">
        <v>3.57</v>
      </c>
      <c r="D12" s="5" t="n">
        <v>4.23</v>
      </c>
      <c r="E12" s="5" t="n">
        <v>1.38</v>
      </c>
      <c r="F12" s="36" t="n">
        <v>3</v>
      </c>
    </row>
    <row r="13" ht="17.25" customHeight="1">
      <c r="B13" s="27" t="inlineStr">
        <is>
          <t>Sep 25</t>
        </is>
      </c>
      <c r="C13" s="12" t="n">
        <v>3.76</v>
      </c>
      <c r="D13" s="5" t="n">
        <v>4.28</v>
      </c>
      <c r="E13" s="5" t="n">
        <v>2.02</v>
      </c>
      <c r="F13" s="36" t="n">
        <v>3</v>
      </c>
    </row>
    <row r="14" ht="17.25" customHeight="1">
      <c r="B14" s="27" t="inlineStr">
        <is>
          <t>Oct 25</t>
        </is>
      </c>
      <c r="C14" s="12" t="n">
        <v>3.57</v>
      </c>
      <c r="D14" s="5" t="n">
        <v>4.28</v>
      </c>
      <c r="E14" s="5" t="n">
        <v>1.18</v>
      </c>
      <c r="F14" s="36" t="n">
        <v>3</v>
      </c>
    </row>
    <row r="15" ht="17.25" customHeight="1">
      <c r="B15" s="27" t="inlineStr">
        <is>
          <t>Nov 25</t>
        </is>
      </c>
      <c r="C15" s="12" t="n">
        <v>3.8</v>
      </c>
      <c r="D15" s="5" t="n">
        <v>4.43</v>
      </c>
      <c r="E15" s="5" t="n">
        <v>1.73</v>
      </c>
      <c r="F15" s="36" t="n">
        <v>3</v>
      </c>
    </row>
    <row r="16" ht="17.25" customHeight="1">
      <c r="B16" s="27" t="inlineStr">
        <is>
          <t>Dic 25</t>
        </is>
      </c>
      <c r="C16" s="12" t="n">
        <v>3.69</v>
      </c>
      <c r="D16" s="5" t="n">
        <v>4.33</v>
      </c>
      <c r="E16" s="5" t="n">
        <v>1.61</v>
      </c>
      <c r="F16" s="36" t="n">
        <v>3</v>
      </c>
    </row>
    <row r="17" ht="17.25" customHeight="1">
      <c r="B17" s="27" t="inlineStr">
        <is>
          <t>Ene 26</t>
        </is>
      </c>
      <c r="C17" s="12" t="n">
        <v>3.79</v>
      </c>
      <c r="D17" s="5" t="n">
        <v>4.52</v>
      </c>
      <c r="E17" s="5" t="n">
        <v>1.39</v>
      </c>
      <c r="F17" s="36" t="n">
        <v>3</v>
      </c>
    </row>
    <row r="18" ht="17.25" customHeight="1">
      <c r="B18" s="27" t="inlineStr">
        <is>
          <t>Feb 26</t>
        </is>
      </c>
      <c r="C18" s="12" t="n">
        <v>4.02</v>
      </c>
      <c r="D18" s="5" t="n">
        <v>4.5</v>
      </c>
      <c r="E18" s="5" t="n">
        <v>2.44</v>
      </c>
      <c r="F18" s="36" t="n">
        <v>3</v>
      </c>
    </row>
    <row r="19" ht="17.25" customHeight="1">
      <c r="B19" s="27" t="inlineStr">
        <is>
          <t>Mar 26</t>
        </is>
      </c>
      <c r="C19" s="12" t="n">
        <v>4.59</v>
      </c>
      <c r="D19" s="5" t="n">
        <v>4.45</v>
      </c>
      <c r="E19" s="5" t="n">
        <v>5.05</v>
      </c>
      <c r="F19" s="36" t="n">
        <v>3</v>
      </c>
    </row>
    <row r="20" ht="17.25" customHeight="1">
      <c r="B20" s="27" t="inlineStr">
        <is>
          <t>Abr 26</t>
        </is>
      </c>
      <c r="C20" s="12" t="n">
        <v>4.45</v>
      </c>
      <c r="D20" s="5" t="n">
        <v>4.26</v>
      </c>
      <c r="E20" s="5" t="n">
        <v>5.08</v>
      </c>
      <c r="F20" s="36" t="n">
        <v>3</v>
      </c>
    </row>
    <row r="21" ht="17.25" customHeight="1">
      <c r="B21" s="27" t="inlineStr">
        <is>
          <t>May 26</t>
        </is>
      </c>
      <c r="C21" s="12" t="n">
        <v>3.94</v>
      </c>
      <c r="D21" s="5" t="n">
        <v>4.19</v>
      </c>
      <c r="E21" s="5" t="n">
        <v>3.1</v>
      </c>
      <c r="F21" s="36" t="n">
        <v>3</v>
      </c>
    </row>
  </sheetData>
  <mergeCells count="6">
    <mergeCell ref="C2:R2"/>
    <mergeCell ref="C5:R5"/>
    <mergeCell ref="C3:R3"/>
    <mergeCell ref="C4:R4"/>
    <mergeCell ref="C6:R6"/>
    <mergeCell ref="C7:R7"/>
  </mergeCells>
  <pageMargins left="0.7" right="0.7" top="0.75" bottom="0.75" header="0.3" footer="0.3"/>
  <pageSetup orientation="portrait" paperSize="9"/>
  <drawing xmlns:r="http://schemas.openxmlformats.org/officeDocument/2006/relationships" r:id="rId1"/>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16" customWidth="1" min="1" max="1"/>
    <col width="22" customWidth="1" min="2" max="2"/>
    <col width="22" customWidth="1" min="3" max="3"/>
  </cols>
  <sheetData>
    <row r="1">
      <c r="A1" s="61" t="inlineStr">
        <is>
          <t>Indicador Mensual de la Formación Bruta de Capital Fijo</t>
        </is>
      </c>
    </row>
    <row r="2">
      <c r="A2" s="62" t="inlineStr">
        <is>
          <t>Fuente: INEGI · Frecuencia: Mensual · Unidad: Índice base 2018=100 · Estado: pendiente de token</t>
        </is>
      </c>
    </row>
    <row r="4">
      <c r="A4" s="63" t="inlineStr">
        <is>
          <t>Periodo</t>
        </is>
      </c>
      <c r="B4" s="63" t="inlineStr">
        <is>
          <t>Índice (inversión)</t>
        </is>
      </c>
      <c r="C4" s="63" t="inlineStr">
        <is>
          <t>Var. mensual (%)</t>
        </is>
      </c>
    </row>
    <row r="5">
      <c r="A5" s="66" t="inlineStr">
        <is>
          <t>Sin observaciones cargadas todavía. Se activará al configurar INEGI_TOKEN y confirmar la serie oficial. No se muestran cifras estimadas ni inventadas.</t>
        </is>
      </c>
    </row>
    <row r="6"/>
  </sheetData>
  <mergeCells count="1">
    <mergeCell ref="A5:C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showGridLines="0" workbookViewId="0">
      <selection activeCell="A1" sqref="A1"/>
    </sheetView>
  </sheetViews>
  <sheetFormatPr baseColWidth="8" defaultRowHeight="15"/>
  <cols>
    <col width="16" customWidth="1" min="1" max="1"/>
    <col width="22" customWidth="1" min="2" max="2"/>
    <col width="22" customWidth="1" min="3" max="3"/>
    <col width="22" customWidth="1" min="4" max="4"/>
  </cols>
  <sheetData>
    <row r="1">
      <c r="A1" s="61" t="inlineStr">
        <is>
          <t>Indicador Oportuno de la Actividad Económica</t>
        </is>
      </c>
    </row>
    <row r="2">
      <c r="A2" s="62" t="inlineStr">
        <is>
          <t>Fuente: INEGI · Frecuencia: Mensual · Unidad: Variación mensual estimada (%) · Estado: pendiente de token</t>
        </is>
      </c>
    </row>
    <row r="4">
      <c r="A4" s="63" t="inlineStr">
        <is>
          <t>Periodo</t>
        </is>
      </c>
      <c r="B4" s="63" t="inlineStr">
        <is>
          <t>Estimación puntual (%)</t>
        </is>
      </c>
      <c r="C4" s="63" t="inlineStr">
        <is>
          <t>Límite inferior (%)</t>
        </is>
      </c>
      <c r="D4" s="63" t="inlineStr">
        <is>
          <t>Límite superior (%)</t>
        </is>
      </c>
    </row>
    <row r="5">
      <c r="A5" s="66" t="inlineStr">
        <is>
          <t>Sin observaciones cargadas todavía. Se activará al configurar INEGI_TOKEN y confirmar la serie oficial. No se muestran cifras estimadas ni inventadas.</t>
        </is>
      </c>
    </row>
    <row r="6"/>
  </sheetData>
  <mergeCells count="1">
    <mergeCell ref="A5:D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16" customWidth="1" min="1" max="1"/>
    <col width="22" customWidth="1" min="2" max="2"/>
    <col width="22" customWidth="1" min="3" max="3"/>
  </cols>
  <sheetData>
    <row r="1">
      <c r="A1" s="61" t="inlineStr">
        <is>
          <t>Encuesta Mensual de la Industria Manufacturera</t>
        </is>
      </c>
    </row>
    <row r="2">
      <c r="A2" s="62" t="inlineStr">
        <is>
          <t>Fuente: INEGI · Frecuencia: Mensual · Unidad: Índice · Estado: pendiente de token</t>
        </is>
      </c>
    </row>
    <row r="4">
      <c r="A4" s="63" t="inlineStr">
        <is>
          <t>Periodo</t>
        </is>
      </c>
      <c r="B4" s="63" t="inlineStr">
        <is>
          <t>Producción (índice)</t>
        </is>
      </c>
      <c r="C4" s="63" t="inlineStr">
        <is>
          <t>Var. mensual (%)</t>
        </is>
      </c>
    </row>
    <row r="5">
      <c r="A5" s="66" t="inlineStr">
        <is>
          <t>Sin observaciones cargadas todavía. Se activará al configurar INEGI_TOKEN y confirmar la serie oficial. No se muestran cifras estimadas ni inventadas.</t>
        </is>
      </c>
    </row>
    <row r="6"/>
  </sheetData>
  <mergeCells count="1">
    <mergeCell ref="A5:C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40" customWidth="1" min="1" max="1"/>
    <col width="34" customWidth="1" min="2" max="2"/>
    <col width="12" customWidth="1" min="3" max="3"/>
    <col width="26" customWidth="1" min="4" max="4"/>
    <col width="18" customWidth="1" min="5" max="5"/>
    <col width="14" customWidth="1" min="6" max="6"/>
    <col width="26" customWidth="1" min="7" max="7"/>
    <col width="40" customWidth="1" min="8" max="8"/>
  </cols>
  <sheetData>
    <row r="1">
      <c r="A1" s="61" t="inlineStr">
        <is>
          <t>Metodología y fuentes</t>
        </is>
      </c>
    </row>
    <row r="3">
      <c r="A3" s="63" t="inlineStr">
        <is>
          <t>Indicador</t>
        </is>
      </c>
      <c r="B3" s="63" t="inlineStr">
        <is>
          <t>Fuente oficial</t>
        </is>
      </c>
      <c r="C3" s="63" t="inlineStr">
        <is>
          <t>Serie</t>
        </is>
      </c>
      <c r="D3" s="63" t="inlineStr">
        <is>
          <t>Unidad</t>
        </is>
      </c>
      <c r="E3" s="63" t="inlineStr">
        <is>
          <t>Ajuste estacional</t>
        </is>
      </c>
      <c r="F3" s="63" t="inlineStr">
        <is>
          <t>Frecuencia</t>
        </is>
      </c>
      <c r="G3" s="63" t="inlineStr">
        <is>
          <t>Método de actualización</t>
        </is>
      </c>
      <c r="H3" s="63" t="inlineStr">
        <is>
          <t>Enlace</t>
        </is>
      </c>
    </row>
    <row r="4">
      <c r="A4" s="82" t="inlineStr">
        <is>
          <t>Producto Interno Bruto</t>
        </is>
      </c>
      <c r="B4" s="82" t="inlineStr">
        <is>
          <t>INEGI</t>
        </is>
      </c>
      <c r="C4" s="82" t="inlineStr">
        <is>
          <t>737375</t>
        </is>
      </c>
      <c r="D4" s="82" t="inlineStr">
        <is>
          <t>Millones de pesos (a precios de 2018)</t>
        </is>
      </c>
      <c r="E4" s="82" t="inlineStr">
        <is>
          <t>Serie original</t>
        </is>
      </c>
      <c r="F4" s="82" t="inlineStr">
        <is>
          <t>Trimestral</t>
        </is>
      </c>
      <c r="G4" s="82" t="inlineStr">
        <is>
          <t>INEGI BIE API</t>
        </is>
      </c>
      <c r="H4" s="82" t="inlineStr">
        <is>
          <t>https://www.inegi.org.mx/app/indicadores/?tm=3&amp;t=605598#D737375</t>
        </is>
      </c>
    </row>
    <row r="5">
      <c r="A5" s="83" t="inlineStr">
        <is>
          <t>Producto Interno Bruto por sector de actividad</t>
        </is>
      </c>
      <c r="B5" s="83" t="inlineStr">
        <is>
          <t>INEGI</t>
        </is>
      </c>
      <c r="C5" s="83" t="inlineStr">
        <is>
          <t>—</t>
        </is>
      </c>
      <c r="D5" s="83" t="inlineStr">
        <is>
          <t>Millones de pesos (a precios de 2018)</t>
        </is>
      </c>
      <c r="E5" s="83" t="inlineStr">
        <is>
          <t>Serie original</t>
        </is>
      </c>
      <c r="F5" s="83" t="inlineStr">
        <is>
          <t>Trimestral</t>
        </is>
      </c>
      <c r="G5" s="83" t="inlineStr">
        <is>
          <t>INEGI BIE API</t>
        </is>
      </c>
      <c r="H5" s="83" t="inlineStr">
        <is>
          <t>https://www.inegi.org.mx/temas/pib/#informacion_general</t>
        </is>
      </c>
    </row>
    <row r="6">
      <c r="A6" s="82" t="inlineStr">
        <is>
          <t>Indicador Global de la Actividad Económica</t>
        </is>
      </c>
      <c r="B6" s="82" t="inlineStr">
        <is>
          <t>INEGI</t>
        </is>
      </c>
      <c r="C6" s="82" t="inlineStr">
        <is>
          <t>737121</t>
        </is>
      </c>
      <c r="D6" s="82" t="inlineStr">
        <is>
          <t>Índice base 2018=100</t>
        </is>
      </c>
      <c r="E6" s="82" t="inlineStr">
        <is>
          <t>Serie original</t>
        </is>
      </c>
      <c r="F6" s="82" t="inlineStr">
        <is>
          <t>Mensual</t>
        </is>
      </c>
      <c r="G6" s="82" t="inlineStr">
        <is>
          <t>INEGI BIE API</t>
        </is>
      </c>
      <c r="H6" s="82" t="inlineStr">
        <is>
          <t>https://www.inegi.org.mx/app/indicadores/?tm=3&amp;t=603589#D737121</t>
        </is>
      </c>
    </row>
    <row r="7">
      <c r="A7" s="83" t="inlineStr">
        <is>
          <t>Indicador Mensual de la Actividad Industrial</t>
        </is>
      </c>
      <c r="B7" s="83" t="inlineStr">
        <is>
          <t>INEGI</t>
        </is>
      </c>
      <c r="C7" s="83" t="inlineStr">
        <is>
          <t>737234</t>
        </is>
      </c>
      <c r="D7" s="83" t="inlineStr">
        <is>
          <t>Índice base 2018=100</t>
        </is>
      </c>
      <c r="E7" s="83" t="inlineStr">
        <is>
          <t>Serie original</t>
        </is>
      </c>
      <c r="F7" s="83" t="inlineStr">
        <is>
          <t>Mensual</t>
        </is>
      </c>
      <c r="G7" s="83" t="inlineStr">
        <is>
          <t>INEGI BIE API</t>
        </is>
      </c>
      <c r="H7" s="83" t="inlineStr">
        <is>
          <t>https://www.inegi.org.mx/app/indicadores/?tm=3&amp;t=603729#D737234</t>
        </is>
      </c>
    </row>
    <row r="8">
      <c r="A8" s="82" t="inlineStr">
        <is>
          <t>Balanza comercial</t>
        </is>
      </c>
      <c r="B8" s="82" t="inlineStr">
        <is>
          <t>INEGI</t>
        </is>
      </c>
      <c r="C8" s="82" t="inlineStr">
        <is>
          <t>33226</t>
        </is>
      </c>
      <c r="D8" s="82" t="inlineStr">
        <is>
          <t>Millones de dólares</t>
        </is>
      </c>
      <c r="E8" s="82" t="inlineStr">
        <is>
          <t>Serie original</t>
        </is>
      </c>
      <c r="F8" s="82" t="inlineStr">
        <is>
          <t>Mensual</t>
        </is>
      </c>
      <c r="G8" s="82" t="inlineStr">
        <is>
          <t>INEGI BIE API</t>
        </is>
      </c>
      <c r="H8" s="82" t="inlineStr">
        <is>
          <t>https://www.inegi.org.mx/app/indicadores/?tm=3&amp;t=36695#D33226</t>
        </is>
      </c>
    </row>
    <row r="9">
      <c r="A9" s="83" t="inlineStr">
        <is>
          <t>Tasa de desocupación</t>
        </is>
      </c>
      <c r="B9" s="83" t="inlineStr">
        <is>
          <t>INEGI — Encuesta Nacional de Ocupación y Empleo (ENOE/ENOEN)</t>
        </is>
      </c>
      <c r="C9" s="83" t="inlineStr">
        <is>
          <t>444603</t>
        </is>
      </c>
      <c r="D9" s="83" t="inlineStr">
        <is>
          <t>Porcentaje de la PEA</t>
        </is>
      </c>
      <c r="E9" s="83" t="inlineStr">
        <is>
          <t>Serie original</t>
        </is>
      </c>
      <c r="F9" s="83" t="inlineStr">
        <is>
          <t>Mensual</t>
        </is>
      </c>
      <c r="G9" s="83" t="inlineStr">
        <is>
          <t>INEGI BIE API</t>
        </is>
      </c>
      <c r="H9" s="83" t="inlineStr">
        <is>
          <t>https://www.inegi.org.mx/app/indicadores/?tm=3&amp;t=4#D444603</t>
        </is>
      </c>
    </row>
    <row r="10">
      <c r="A10" s="82" t="inlineStr">
        <is>
          <t>Índice de Precios al Consumidor</t>
        </is>
      </c>
      <c r="B10" s="82" t="inlineStr">
        <is>
          <t>INEGI</t>
        </is>
      </c>
      <c r="C10" s="82" t="inlineStr">
        <is>
          <t>334452</t>
        </is>
      </c>
      <c r="D10" s="82" t="inlineStr">
        <is>
          <t>Variación anual (%)</t>
        </is>
      </c>
      <c r="E10" s="82" t="inlineStr">
        <is>
          <t>No aplica</t>
        </is>
      </c>
      <c r="F10" s="82" t="inlineStr">
        <is>
          <t>Mensual</t>
        </is>
      </c>
      <c r="G10" s="82" t="inlineStr">
        <is>
          <t>INEGI BIE API</t>
        </is>
      </c>
      <c r="H10" s="82" t="inlineStr">
        <is>
          <t>https://www.inegi.org.mx/app/indicadores/?tm=3&amp;t=682416#D334452</t>
        </is>
      </c>
    </row>
    <row r="11">
      <c r="A11" s="83" t="inlineStr">
        <is>
          <t>Indicador mensual del consumo privado</t>
        </is>
      </c>
      <c r="B11" s="83" t="inlineStr">
        <is>
          <t>INEGI</t>
        </is>
      </c>
      <c r="C11" s="83" t="inlineStr">
        <is>
          <t>—</t>
        </is>
      </c>
      <c r="D11" s="83" t="inlineStr">
        <is>
          <t>Índice base 2018=100</t>
        </is>
      </c>
      <c r="E11" s="83" t="inlineStr">
        <is>
          <t>Serie original</t>
        </is>
      </c>
      <c r="F11" s="83" t="inlineStr">
        <is>
          <t>Mensual</t>
        </is>
      </c>
      <c r="G11" s="83" t="inlineStr">
        <is>
          <t>INEGI BIE API</t>
        </is>
      </c>
      <c r="H11" s="83" t="inlineStr">
        <is>
          <t>https://www.inegi.org.mx/app/indicadores/?tm=3#D733671_600917</t>
        </is>
      </c>
    </row>
    <row r="12">
      <c r="A12" s="82" t="inlineStr">
        <is>
          <t>Indicador Mensual de la Formación Bruta de Capital Fijo</t>
        </is>
      </c>
      <c r="B12" s="82" t="inlineStr">
        <is>
          <t>INEGI</t>
        </is>
      </c>
      <c r="C12" s="82" t="inlineStr">
        <is>
          <t>—</t>
        </is>
      </c>
      <c r="D12" s="82" t="inlineStr">
        <is>
          <t>Índice base 2018=100</t>
        </is>
      </c>
      <c r="E12" s="82" t="inlineStr">
        <is>
          <t>Serie original</t>
        </is>
      </c>
      <c r="F12" s="82" t="inlineStr">
        <is>
          <t>Mensual</t>
        </is>
      </c>
      <c r="G12" s="82" t="inlineStr">
        <is>
          <t>INEGI BIE API</t>
        </is>
      </c>
      <c r="H12" s="82" t="inlineStr">
        <is>
          <t>https://www.inegi.org.mx/temas/inversionfija/</t>
        </is>
      </c>
    </row>
    <row r="13">
      <c r="A13" s="83" t="inlineStr">
        <is>
          <t>Indicador Oportuno de la Actividad Económica</t>
        </is>
      </c>
      <c r="B13" s="83" t="inlineStr">
        <is>
          <t>INEGI</t>
        </is>
      </c>
      <c r="C13" s="83" t="inlineStr">
        <is>
          <t>—</t>
        </is>
      </c>
      <c r="D13" s="83" t="inlineStr">
        <is>
          <t>Variación mensual estimada (%)</t>
        </is>
      </c>
      <c r="E13" s="83" t="inlineStr">
        <is>
          <t>Serie desestacionalizada</t>
        </is>
      </c>
      <c r="F13" s="83" t="inlineStr">
        <is>
          <t>Mensual</t>
        </is>
      </c>
      <c r="G13" s="83" t="inlineStr">
        <is>
          <t>INEGI (comunicado / BIE)</t>
        </is>
      </c>
      <c r="H13" s="83" t="inlineStr">
        <is>
          <t>https://www.inegi.org.mx/investigacion/ioae/</t>
        </is>
      </c>
    </row>
    <row r="14">
      <c r="A14" s="82" t="inlineStr">
        <is>
          <t>Encuesta Mensual de la Industria Manufacturera</t>
        </is>
      </c>
      <c r="B14" s="82" t="inlineStr">
        <is>
          <t>INEGI</t>
        </is>
      </c>
      <c r="C14" s="82" t="inlineStr">
        <is>
          <t>—</t>
        </is>
      </c>
      <c r="D14" s="82" t="inlineStr">
        <is>
          <t>Índice</t>
        </is>
      </c>
      <c r="E14" s="82" t="inlineStr">
        <is>
          <t>Serie original</t>
        </is>
      </c>
      <c r="F14" s="82" t="inlineStr">
        <is>
          <t>Mensual</t>
        </is>
      </c>
      <c r="G14" s="82" t="inlineStr">
        <is>
          <t>INEGI BIE API</t>
        </is>
      </c>
      <c r="H14" s="82" t="inlineStr">
        <is>
          <t>https://www.inegi.org.mx/programas/emim/</t>
        </is>
      </c>
    </row>
    <row r="15">
      <c r="A15" s="83" t="inlineStr">
        <is>
          <t>Inversión Extranjera Directa (IED)</t>
        </is>
      </c>
      <c r="B15" s="83" t="inlineStr">
        <is>
          <t>Registro Nacional de Inversiones Extranjeras (RNIE). Secretaría de Economía</t>
        </is>
      </c>
      <c r="C15" s="83" t="inlineStr">
        <is>
          <t>—</t>
        </is>
      </c>
      <c r="D15" s="83" t="inlineStr">
        <is>
          <t>Millones de dólares</t>
        </is>
      </c>
      <c r="E15" s="83" t="inlineStr">
        <is>
          <t>No aplica</t>
        </is>
      </c>
      <c r="F15" s="83" t="inlineStr">
        <is>
          <t>Trimestral</t>
        </is>
      </c>
      <c r="G15" s="83" t="inlineStr">
        <is>
          <t>Descarga oficial RNIE / DataMéxico</t>
        </is>
      </c>
      <c r="H15" s="83" t="inlineStr"/>
    </row>
    <row r="16">
      <c r="A16" s="82" t="inlineStr">
        <is>
          <t>Tipo de cambio FIX</t>
        </is>
      </c>
      <c r="B16" s="82" t="inlineStr">
        <is>
          <t>Banco de México</t>
        </is>
      </c>
      <c r="C16" s="82" t="inlineStr">
        <is>
          <t>—</t>
        </is>
      </c>
      <c r="D16" s="82" t="inlineStr">
        <is>
          <t>Pesos por dólar</t>
        </is>
      </c>
      <c r="E16" s="82" t="inlineStr">
        <is>
          <t>No aplica</t>
        </is>
      </c>
      <c r="F16" s="82" t="inlineStr">
        <is>
          <t>Diaria</t>
        </is>
      </c>
      <c r="G16" s="82" t="inlineStr">
        <is>
          <t>Banxico SIE API</t>
        </is>
      </c>
      <c r="H16" s="82" t="inlineStr">
        <is>
          <t>https://www.banxico.org.mx/tipcamb/tipCamMIAction.do</t>
        </is>
      </c>
    </row>
    <row r="17">
      <c r="A17" s="83" t="inlineStr">
        <is>
          <t>Tasa de interés objetivo</t>
        </is>
      </c>
      <c r="B17" s="83" t="inlineStr">
        <is>
          <t>Banco de México</t>
        </is>
      </c>
      <c r="C17" s="83" t="inlineStr">
        <is>
          <t>—</t>
        </is>
      </c>
      <c r="D17" s="83" t="inlineStr">
        <is>
          <t>Porcentaje anual</t>
        </is>
      </c>
      <c r="E17" s="83" t="inlineStr">
        <is>
          <t>No aplica</t>
        </is>
      </c>
      <c r="F17" s="83" t="inlineStr">
        <is>
          <t>Por reunión</t>
        </is>
      </c>
      <c r="G17" s="83" t="inlineStr">
        <is>
          <t>Banxico SIE API</t>
        </is>
      </c>
      <c r="H17" s="83" t="inlineStr">
        <is>
          <t>https://www.banxico.org.mx/mercados/tasas-de-referencia.html</t>
        </is>
      </c>
    </row>
    <row r="18">
      <c r="A18" s="82" t="inlineStr">
        <is>
          <t>Reservas internacionales</t>
        </is>
      </c>
      <c r="B18" s="82" t="inlineStr">
        <is>
          <t>Banco de México</t>
        </is>
      </c>
      <c r="C18" s="82" t="inlineStr">
        <is>
          <t>—</t>
        </is>
      </c>
      <c r="D18" s="82" t="inlineStr">
        <is>
          <t>Millones de dólares</t>
        </is>
      </c>
      <c r="E18" s="82" t="inlineStr">
        <is>
          <t>No aplica</t>
        </is>
      </c>
      <c r="F18" s="82" t="inlineStr">
        <is>
          <t>Semanal</t>
        </is>
      </c>
      <c r="G18" s="82" t="inlineStr">
        <is>
          <t>Banxico SIE API</t>
        </is>
      </c>
      <c r="H18" s="82" t="inlineStr">
        <is>
          <t>https://www.banxico.org.mx/publicaciones-y-prensa/reservas-internacionales/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8"/>
  <sheetViews>
    <sheetView showGridLines="0" workbookViewId="0">
      <selection activeCell="A1" sqref="A1"/>
    </sheetView>
  </sheetViews>
  <sheetFormatPr baseColWidth="8" defaultRowHeight="15"/>
  <cols>
    <col width="40" customWidth="1" min="1" max="1"/>
    <col width="15" customWidth="1" min="2" max="2"/>
    <col width="26" customWidth="1" min="3" max="3"/>
    <col width="14" customWidth="1" min="4" max="4"/>
    <col width="14" customWidth="1" min="5" max="5"/>
    <col width="15" customWidth="1" min="6" max="6"/>
    <col width="18" customWidth="1" min="7" max="7"/>
    <col width="18" customWidth="1" min="8" max="8"/>
    <col width="26" customWidth="1" min="9" max="9"/>
    <col width="28" customWidth="1" min="10" max="10"/>
    <col width="16" customWidth="1" min="11" max="11"/>
    <col width="18" customWidth="1" min="12" max="12"/>
    <col width="16" customWidth="1" min="13" max="13"/>
    <col width="50" customWidth="1" min="14" max="14"/>
  </cols>
  <sheetData>
    <row r="1">
      <c r="A1" s="61" t="inlineStr">
        <is>
          <t>Control de actualizaciones</t>
        </is>
      </c>
    </row>
    <row r="2">
      <c r="A2" s="62" t="inlineStr">
        <is>
          <t>Última corrida del pipeline: 2026-10-30T18:24:26+00:00 · resultado: OK · modo: offline</t>
        </is>
      </c>
    </row>
    <row r="4">
      <c r="A4" s="63" t="inlineStr">
        <is>
          <t>Indicador</t>
        </is>
      </c>
      <c r="B4" s="63" t="inlineStr">
        <is>
          <t>Clasificación</t>
        </is>
      </c>
      <c r="C4" s="63" t="inlineStr">
        <is>
          <t>Estado</t>
        </is>
      </c>
      <c r="D4" s="63" t="inlineStr">
        <is>
          <t>Origen del dato</t>
        </is>
      </c>
      <c r="E4" s="63" t="inlineStr">
        <is>
          <t>Requiere token</t>
        </is>
      </c>
      <c r="F4" s="63" t="inlineStr">
        <is>
          <t>Serie confirmada</t>
        </is>
      </c>
      <c r="G4" s="63" t="inlineStr">
        <is>
          <t>Última observación</t>
        </is>
      </c>
      <c r="H4" s="63" t="inlineStr">
        <is>
          <t>Periodo de referencia</t>
        </is>
      </c>
      <c r="I4" s="63" t="inlineStr">
        <is>
          <t>Fecha de publicación</t>
        </is>
      </c>
      <c r="J4" s="63" t="inlineStr">
        <is>
          <t>Próxima publicación (calendario)</t>
        </is>
      </c>
      <c r="K4" s="63" t="inlineStr">
        <is>
          <t>Fecha de consulta</t>
        </is>
      </c>
      <c r="L4" s="63" t="inlineStr">
        <is>
          <t>Actualización archivo</t>
        </is>
      </c>
      <c r="M4" s="63" t="inlineStr">
        <is>
          <t>Revisión detectada</t>
        </is>
      </c>
      <c r="N4" s="63" t="inlineStr">
        <is>
          <t>Observaciones de calidad</t>
        </is>
      </c>
    </row>
    <row r="5">
      <c r="A5" s="83" t="inlineStr">
        <is>
          <t>Producto Interno Bruto</t>
        </is>
      </c>
      <c r="B5" s="83" t="inlineStr">
        <is>
          <t>principal</t>
        </is>
      </c>
      <c r="C5" s="83" t="inlineStr">
        <is>
          <t>actualizado automáticamente</t>
        </is>
      </c>
      <c r="D5" s="83" t="inlineStr">
        <is>
          <t>api</t>
        </is>
      </c>
      <c r="E5" s="83" t="inlineStr">
        <is>
          <t>INEGI</t>
        </is>
      </c>
      <c r="F5" s="83" t="inlineStr">
        <is>
          <t>Sí</t>
        </is>
      </c>
      <c r="G5" s="83" t="inlineStr">
        <is>
          <t>1T-26 P</t>
        </is>
      </c>
      <c r="H5" s="83" t="inlineStr">
        <is>
          <t>1T-26 P</t>
        </is>
      </c>
      <c r="I5" s="83" t="inlineStr">
        <is>
          <t>Aproximadamente 50 días después de haber concluido el trimestre</t>
        </is>
      </c>
      <c r="J5" s="83" t="inlineStr">
        <is>
          <t>30 de octubre de 2026 · 3er trimestre 2026</t>
        </is>
      </c>
      <c r="K5" s="83" t="inlineStr">
        <is>
          <t>2026-08-02</t>
        </is>
      </c>
      <c r="L5" s="83" t="inlineStr">
        <is>
          <t>2026-08-02</t>
        </is>
      </c>
      <c r="M5" s="83" t="inlineStr">
        <is>
          <t>No</t>
        </is>
      </c>
      <c r="N5" s="83" t="inlineStr"/>
    </row>
    <row r="6">
      <c r="A6" s="82" t="inlineStr">
        <is>
          <t>Producto Interno Bruto por sector de actividad</t>
        </is>
      </c>
      <c r="B6" s="82" t="inlineStr">
        <is>
          <t>principal</t>
        </is>
      </c>
      <c r="C6" s="82" t="inlineStr">
        <is>
          <t>dato de respaldo vigente</t>
        </is>
      </c>
      <c r="D6" s="82" t="inlineStr">
        <is>
          <t>respaldo</t>
        </is>
      </c>
      <c r="E6" s="82" t="inlineStr">
        <is>
          <t>INEGI</t>
        </is>
      </c>
      <c r="F6" s="82" t="inlineStr">
        <is>
          <t>No</t>
        </is>
      </c>
      <c r="G6" s="82" t="inlineStr">
        <is>
          <t>1T-26 P</t>
        </is>
      </c>
      <c r="H6" s="82" t="inlineStr">
        <is>
          <t>1T-26 P</t>
        </is>
      </c>
      <c r="I6" s="82" t="inlineStr">
        <is>
          <t>Aproximadamente 50 días después de haber concluido el trimestre</t>
        </is>
      </c>
      <c r="J6" s="82" t="inlineStr">
        <is>
          <t>24 de agosto de 2026 · 2° trimestre 2026</t>
        </is>
      </c>
      <c r="K6" s="82" t="inlineStr">
        <is>
          <t>2026-07-16</t>
        </is>
      </c>
      <c r="L6" s="82" t="inlineStr">
        <is>
          <t>2026-07-16</t>
        </is>
      </c>
      <c r="M6" s="82" t="inlineStr">
        <is>
          <t>No</t>
        </is>
      </c>
      <c r="N6" s="82" t="inlineStr"/>
    </row>
    <row r="7">
      <c r="A7" s="83" t="inlineStr">
        <is>
          <t>Indicador Global de la Actividad Económica</t>
        </is>
      </c>
      <c r="B7" s="83" t="inlineStr">
        <is>
          <t>principal</t>
        </is>
      </c>
      <c r="C7" s="83" t="inlineStr">
        <is>
          <t>actualizado automáticamente</t>
        </is>
      </c>
      <c r="D7" s="83" t="inlineStr">
        <is>
          <t>api</t>
        </is>
      </c>
      <c r="E7" s="83" t="inlineStr">
        <is>
          <t>INEGI</t>
        </is>
      </c>
      <c r="F7" s="83" t="inlineStr">
        <is>
          <t>Sí</t>
        </is>
      </c>
      <c r="G7" s="83" t="inlineStr">
        <is>
          <t>May 26</t>
        </is>
      </c>
      <c r="H7" s="83" t="inlineStr">
        <is>
          <t>May 26</t>
        </is>
      </c>
      <c r="I7" s="83" t="inlineStr">
        <is>
          <t>Aproximadamente 55 días después de haber concluido el mes</t>
        </is>
      </c>
      <c r="J7" s="83" t="inlineStr">
        <is>
          <t>24 de agosto de 2026 · Junio 2026</t>
        </is>
      </c>
      <c r="K7" s="83" t="inlineStr">
        <is>
          <t>2026-08-02</t>
        </is>
      </c>
      <c r="L7" s="83" t="inlineStr">
        <is>
          <t>2026-08-02</t>
        </is>
      </c>
      <c r="M7" s="83" t="inlineStr">
        <is>
          <t>No</t>
        </is>
      </c>
      <c r="N7" s="83" t="inlineStr"/>
    </row>
    <row r="8">
      <c r="A8" s="84" t="inlineStr">
        <is>
          <t>Indicador Mensual de la Actividad Industrial</t>
        </is>
      </c>
      <c r="B8" s="84" t="inlineStr">
        <is>
          <t>principal</t>
        </is>
      </c>
      <c r="C8" s="84" t="inlineStr">
        <is>
          <t>actualizado automáticamente</t>
        </is>
      </c>
      <c r="D8" s="84" t="inlineStr">
        <is>
          <t>api</t>
        </is>
      </c>
      <c r="E8" s="84" t="inlineStr">
        <is>
          <t>INEGI</t>
        </is>
      </c>
      <c r="F8" s="84" t="inlineStr">
        <is>
          <t>Sí</t>
        </is>
      </c>
      <c r="G8" s="84" t="inlineStr">
        <is>
          <t>May 26</t>
        </is>
      </c>
      <c r="H8" s="84" t="inlineStr">
        <is>
          <t>May 26</t>
        </is>
      </c>
      <c r="I8" s="84" t="n"/>
      <c r="J8" s="84" t="inlineStr">
        <is>
          <t>11 de agosto de 2026 · Junio 2026</t>
        </is>
      </c>
      <c r="K8" s="84" t="inlineStr">
        <is>
          <t>2026-08-02</t>
        </is>
      </c>
      <c r="L8" s="84" t="inlineStr">
        <is>
          <t>2026-08-02</t>
        </is>
      </c>
      <c r="M8" s="84" t="inlineStr">
        <is>
          <t>Sí</t>
        </is>
      </c>
      <c r="N8" s="84" t="inlineStr">
        <is>
          <t>Valor idéntico al de Consumo Privado (104.4568568234) en el mismo mes: duplicado sospechoso entre series no relacionadas. Pendiente de verificación contra INEGI (BIE) una vez cargado INEGI_TOKEN.</t>
        </is>
      </c>
    </row>
    <row r="9">
      <c r="A9" s="83" t="inlineStr">
        <is>
          <t>Balanza comercial</t>
        </is>
      </c>
      <c r="B9" s="83" t="inlineStr">
        <is>
          <t>principal</t>
        </is>
      </c>
      <c r="C9" s="83" t="inlineStr">
        <is>
          <t>actualizado automáticamente</t>
        </is>
      </c>
      <c r="D9" s="83" t="inlineStr">
        <is>
          <t>api</t>
        </is>
      </c>
      <c r="E9" s="83" t="inlineStr">
        <is>
          <t>INEGI</t>
        </is>
      </c>
      <c r="F9" s="83" t="inlineStr">
        <is>
          <t>Sí</t>
        </is>
      </c>
      <c r="G9" s="83" t="inlineStr">
        <is>
          <t>Jun 26</t>
        </is>
      </c>
      <c r="H9" s="83" t="inlineStr">
        <is>
          <t>Jun 26</t>
        </is>
      </c>
      <c r="I9" s="83" t="inlineStr">
        <is>
          <t>Aproximadamente 30 a 45 días posteriores al cierre del mes</t>
        </is>
      </c>
      <c r="J9" s="83" t="inlineStr">
        <is>
          <t>27 de agosto de 2026 · Julio 2026</t>
        </is>
      </c>
      <c r="K9" s="83" t="inlineStr">
        <is>
          <t>2026-08-02</t>
        </is>
      </c>
      <c r="L9" s="83" t="inlineStr">
        <is>
          <t>2026-08-02</t>
        </is>
      </c>
      <c r="M9" s="83" t="inlineStr">
        <is>
          <t>No</t>
        </is>
      </c>
      <c r="N9" s="83" t="inlineStr"/>
    </row>
    <row r="10">
      <c r="A10" s="82" t="inlineStr">
        <is>
          <t>Tasa de desocupación</t>
        </is>
      </c>
      <c r="B10" s="82" t="inlineStr">
        <is>
          <t>principal</t>
        </is>
      </c>
      <c r="C10" s="82" t="inlineStr">
        <is>
          <t>actualizado automáticamente</t>
        </is>
      </c>
      <c r="D10" s="82" t="inlineStr">
        <is>
          <t>api</t>
        </is>
      </c>
      <c r="E10" s="82" t="inlineStr">
        <is>
          <t>INEGI</t>
        </is>
      </c>
      <c r="F10" s="82" t="inlineStr">
        <is>
          <t>Sí</t>
        </is>
      </c>
      <c r="G10" s="82" t="inlineStr">
        <is>
          <t>Jun 26</t>
        </is>
      </c>
      <c r="H10" s="82" t="inlineStr">
        <is>
          <t>Jun 26</t>
        </is>
      </c>
      <c r="I10" s="82" t="inlineStr">
        <is>
          <t>Aproximadamente 25-30 días después de haber concluido el mes</t>
        </is>
      </c>
      <c r="J10" s="82" t="inlineStr">
        <is>
          <t>25 de agosto de 2026 · Julio 2026</t>
        </is>
      </c>
      <c r="K10" s="82" t="inlineStr">
        <is>
          <t>2026-08-02</t>
        </is>
      </c>
      <c r="L10" s="82" t="inlineStr">
        <is>
          <t>2026-08-02</t>
        </is>
      </c>
      <c r="M10" s="82" t="inlineStr">
        <is>
          <t>No</t>
        </is>
      </c>
      <c r="N10" s="82" t="inlineStr"/>
    </row>
    <row r="11">
      <c r="A11" s="83" t="inlineStr">
        <is>
          <t>Índice de Precios al Consumidor</t>
        </is>
      </c>
      <c r="B11" s="83" t="inlineStr">
        <is>
          <t>principal</t>
        </is>
      </c>
      <c r="C11" s="83" t="inlineStr">
        <is>
          <t>actualizado automáticamente</t>
        </is>
      </c>
      <c r="D11" s="83" t="inlineStr">
        <is>
          <t>api</t>
        </is>
      </c>
      <c r="E11" s="83" t="inlineStr">
        <is>
          <t>INEGI</t>
        </is>
      </c>
      <c r="F11" s="83" t="inlineStr">
        <is>
          <t>Sí</t>
        </is>
      </c>
      <c r="G11" s="83" t="inlineStr">
        <is>
          <t>Jun 26</t>
        </is>
      </c>
      <c r="H11" s="83" t="inlineStr">
        <is>
          <t>Jun 26</t>
        </is>
      </c>
      <c r="I11" s="83" t="n"/>
      <c r="J11" s="83" t="inlineStr">
        <is>
          <t>07 de agosto de 2026 · Julio 2026</t>
        </is>
      </c>
      <c r="K11" s="83" t="inlineStr">
        <is>
          <t>2026-08-02</t>
        </is>
      </c>
      <c r="L11" s="83" t="inlineStr">
        <is>
          <t>2026-08-02</t>
        </is>
      </c>
      <c r="M11" s="83" t="inlineStr">
        <is>
          <t>No</t>
        </is>
      </c>
      <c r="N11" s="83" t="inlineStr"/>
    </row>
    <row r="12">
      <c r="A12" s="84" t="inlineStr">
        <is>
          <t>Indicador mensual del consumo privado</t>
        </is>
      </c>
      <c r="B12" s="84" t="inlineStr">
        <is>
          <t>principal</t>
        </is>
      </c>
      <c r="C12" s="84" t="inlineStr">
        <is>
          <t>dato en revisión</t>
        </is>
      </c>
      <c r="D12" s="84" t="inlineStr">
        <is>
          <t>respaldo</t>
        </is>
      </c>
      <c r="E12" s="84" t="inlineStr">
        <is>
          <t>INEGI</t>
        </is>
      </c>
      <c r="F12" s="84" t="inlineStr">
        <is>
          <t>No</t>
        </is>
      </c>
      <c r="G12" s="84" t="inlineStr">
        <is>
          <t>Mar 26 P</t>
        </is>
      </c>
      <c r="H12" s="84" t="inlineStr">
        <is>
          <t>Mar 26 P</t>
        </is>
      </c>
      <c r="I12" s="84" t="inlineStr">
        <is>
          <t>Aproximadamente 21 días después de haber concluido el mes</t>
        </is>
      </c>
      <c r="J12" s="84" t="inlineStr">
        <is>
          <t>05 de agosto de 2026 · Mayo 2026</t>
        </is>
      </c>
      <c r="K12" s="84" t="inlineStr">
        <is>
          <t>2026-07-16</t>
        </is>
      </c>
      <c r="L12" s="84" t="inlineStr">
        <is>
          <t>2026-07-16</t>
        </is>
      </c>
      <c r="M12" s="84" t="inlineStr">
        <is>
          <t>Sí</t>
        </is>
      </c>
      <c r="N12" s="84" t="inlineStr">
        <is>
          <t>Valor idéntico al de IMAI (104.4568568234) en el mismo mes: duplicado sospechoso entre series no relacionadas. Pendiente de verificación contra INEGI (BIE) una vez cargado INEGI_TOKEN.</t>
        </is>
      </c>
    </row>
    <row r="13">
      <c r="A13" s="83" t="inlineStr">
        <is>
          <t>Indicador Mensual de la Formación Bruta de Capital Fijo</t>
        </is>
      </c>
      <c r="B13" s="83" t="inlineStr">
        <is>
          <t>principal</t>
        </is>
      </c>
      <c r="C13" s="83" t="inlineStr">
        <is>
          <t>pendiente de token</t>
        </is>
      </c>
      <c r="D13" s="83" t="inlineStr">
        <is>
          <t>pendiente</t>
        </is>
      </c>
      <c r="E13" s="83" t="inlineStr">
        <is>
          <t>INEGI</t>
        </is>
      </c>
      <c r="F13" s="83" t="inlineStr">
        <is>
          <t>No</t>
        </is>
      </c>
      <c r="G13" s="83" t="n"/>
      <c r="H13" s="83" t="n"/>
      <c r="I13" s="83" t="inlineStr">
        <is>
          <t>Aproximadamente 55 días tras el cierre del mes</t>
        </is>
      </c>
      <c r="J13" s="83" t="inlineStr">
        <is>
          <t>05 de agosto de 2026 · Mayo 2026</t>
        </is>
      </c>
      <c r="K13" s="83" t="n"/>
      <c r="L13" s="83" t="n"/>
      <c r="M13" s="83" t="inlineStr">
        <is>
          <t>No</t>
        </is>
      </c>
      <c r="N13" s="83" t="inlineStr"/>
    </row>
    <row r="14">
      <c r="A14" s="82" t="inlineStr">
        <is>
          <t>Indicador Oportuno de la Actividad Económica</t>
        </is>
      </c>
      <c r="B14" s="82" t="inlineStr">
        <is>
          <t>principal</t>
        </is>
      </c>
      <c r="C14" s="82" t="inlineStr">
        <is>
          <t>pendiente de token</t>
        </is>
      </c>
      <c r="D14" s="82" t="inlineStr">
        <is>
          <t>pendiente</t>
        </is>
      </c>
      <c r="E14" s="82" t="inlineStr">
        <is>
          <t>INEGI</t>
        </is>
      </c>
      <c r="F14" s="82" t="inlineStr">
        <is>
          <t>No</t>
        </is>
      </c>
      <c r="G14" s="82" t="n"/>
      <c r="H14" s="82" t="n"/>
      <c r="I14" s="82" t="inlineStr">
        <is>
          <t>Fin de mes del periodo estimado</t>
        </is>
      </c>
      <c r="J14" s="82" t="inlineStr">
        <is>
          <t>20 de agosto de 2026 · Julio 2026</t>
        </is>
      </c>
      <c r="K14" s="82" t="n"/>
      <c r="L14" s="82" t="n"/>
      <c r="M14" s="82" t="inlineStr">
        <is>
          <t>No</t>
        </is>
      </c>
      <c r="N14" s="82" t="inlineStr"/>
    </row>
    <row r="15">
      <c r="A15" s="83" t="inlineStr">
        <is>
          <t>Encuesta Mensual de la Industria Manufacturera</t>
        </is>
      </c>
      <c r="B15" s="83" t="inlineStr">
        <is>
          <t>principal</t>
        </is>
      </c>
      <c r="C15" s="83" t="inlineStr">
        <is>
          <t>pendiente de token</t>
        </is>
      </c>
      <c r="D15" s="83" t="inlineStr">
        <is>
          <t>pendiente</t>
        </is>
      </c>
      <c r="E15" s="83" t="inlineStr">
        <is>
          <t>INEGI</t>
        </is>
      </c>
      <c r="F15" s="83" t="inlineStr">
        <is>
          <t>No</t>
        </is>
      </c>
      <c r="G15" s="83" t="n"/>
      <c r="H15" s="83" t="n"/>
      <c r="I15" s="83" t="inlineStr">
        <is>
          <t>Aproximadamente 40 días tras el cierre del mes</t>
        </is>
      </c>
      <c r="J15" s="83" t="inlineStr">
        <is>
          <t>17 de agosto de 2026 · Junio 2026</t>
        </is>
      </c>
      <c r="K15" s="83" t="n"/>
      <c r="L15" s="83" t="n"/>
      <c r="M15" s="83" t="inlineStr">
        <is>
          <t>No</t>
        </is>
      </c>
      <c r="N15" s="83" t="inlineStr"/>
    </row>
    <row r="16">
      <c r="A16" s="82" t="inlineStr">
        <is>
          <t>Inversión Extranjera Directa (IED)</t>
        </is>
      </c>
      <c r="B16" s="82" t="inlineStr">
        <is>
          <t>complementario</t>
        </is>
      </c>
      <c r="C16" s="82" t="inlineStr">
        <is>
          <t>dato de respaldo vigente</t>
        </is>
      </c>
      <c r="D16" s="82" t="inlineStr">
        <is>
          <t>respaldo</t>
        </is>
      </c>
      <c r="E16" s="82" t="inlineStr">
        <is>
          <t>—</t>
        </is>
      </c>
      <c r="F16" s="82" t="inlineStr">
        <is>
          <t>No</t>
        </is>
      </c>
      <c r="G16" s="82" t="inlineStr">
        <is>
          <t>1T-26</t>
        </is>
      </c>
      <c r="H16" s="82" t="inlineStr">
        <is>
          <t>1T-26</t>
        </is>
      </c>
      <c r="I16" s="82" t="inlineStr">
        <is>
          <t>Aproximadamente 45 días posteriores al cierre del trimestre</t>
        </is>
      </c>
      <c r="J16" s="82" t="inlineStr">
        <is>
          <t>—</t>
        </is>
      </c>
      <c r="K16" s="82" t="inlineStr">
        <is>
          <t>2026-07-16</t>
        </is>
      </c>
      <c r="L16" s="82" t="inlineStr">
        <is>
          <t>2026-07-16</t>
        </is>
      </c>
      <c r="M16" s="82" t="inlineStr">
        <is>
          <t>No</t>
        </is>
      </c>
      <c r="N16" s="82" t="inlineStr"/>
    </row>
    <row r="17">
      <c r="A17" s="83" t="inlineStr">
        <is>
          <t>Tipo de cambio FIX</t>
        </is>
      </c>
      <c r="B17" s="83" t="inlineStr">
        <is>
          <t>complementario</t>
        </is>
      </c>
      <c r="C17" s="83" t="inlineStr">
        <is>
          <t>pendiente de token</t>
        </is>
      </c>
      <c r="D17" s="83" t="inlineStr">
        <is>
          <t>pendiente</t>
        </is>
      </c>
      <c r="E17" s="83" t="inlineStr">
        <is>
          <t>BANXICO</t>
        </is>
      </c>
      <c r="F17" s="83" t="inlineStr">
        <is>
          <t>No</t>
        </is>
      </c>
      <c r="G17" s="83" t="n"/>
      <c r="H17" s="83" t="n"/>
      <c r="I17" s="83" t="inlineStr">
        <is>
          <t>Días hábiles</t>
        </is>
      </c>
      <c r="J17" s="83" t="inlineStr">
        <is>
          <t>—</t>
        </is>
      </c>
      <c r="K17" s="83" t="n"/>
      <c r="L17" s="83" t="n"/>
      <c r="M17" s="83" t="inlineStr">
        <is>
          <t>No</t>
        </is>
      </c>
      <c r="N17" s="83" t="inlineStr"/>
    </row>
    <row r="18">
      <c r="A18" s="82" t="inlineStr">
        <is>
          <t>Tasa de interés objetivo</t>
        </is>
      </c>
      <c r="B18" s="82" t="inlineStr">
        <is>
          <t>complementario</t>
        </is>
      </c>
      <c r="C18" s="82" t="inlineStr">
        <is>
          <t>pendiente de token</t>
        </is>
      </c>
      <c r="D18" s="82" t="inlineStr">
        <is>
          <t>pendiente</t>
        </is>
      </c>
      <c r="E18" s="82" t="inlineStr">
        <is>
          <t>BANXICO</t>
        </is>
      </c>
      <c r="F18" s="82" t="inlineStr">
        <is>
          <t>No</t>
        </is>
      </c>
      <c r="G18" s="82" t="n"/>
      <c r="H18" s="82" t="n"/>
      <c r="I18" s="82" t="inlineStr">
        <is>
          <t>Días de anuncio de política monetaria</t>
        </is>
      </c>
      <c r="J18" s="82" t="inlineStr">
        <is>
          <t>—</t>
        </is>
      </c>
      <c r="K18" s="82" t="n"/>
      <c r="L18" s="82" t="n"/>
      <c r="M18" s="82" t="inlineStr">
        <is>
          <t>No</t>
        </is>
      </c>
      <c r="N18" s="82" t="inlineStr"/>
    </row>
    <row r="19">
      <c r="A19" s="83" t="inlineStr">
        <is>
          <t>Reservas internacionales</t>
        </is>
      </c>
      <c r="B19" s="83" t="inlineStr">
        <is>
          <t>complementario</t>
        </is>
      </c>
      <c r="C19" s="83" t="inlineStr">
        <is>
          <t>pendiente de token</t>
        </is>
      </c>
      <c r="D19" s="83" t="inlineStr">
        <is>
          <t>pendiente</t>
        </is>
      </c>
      <c r="E19" s="83" t="inlineStr">
        <is>
          <t>BANXICO</t>
        </is>
      </c>
      <c r="F19" s="83" t="inlineStr">
        <is>
          <t>No</t>
        </is>
      </c>
      <c r="G19" s="83" t="n"/>
      <c r="H19" s="83" t="n"/>
      <c r="I19" s="83" t="inlineStr">
        <is>
          <t>Semanal (martes)</t>
        </is>
      </c>
      <c r="J19" s="83" t="inlineStr">
        <is>
          <t>—</t>
        </is>
      </c>
      <c r="K19" s="83" t="n"/>
      <c r="L19" s="83" t="n"/>
      <c r="M19" s="83" t="inlineStr">
        <is>
          <t>No</t>
        </is>
      </c>
      <c r="N19" s="83" t="inlineStr"/>
    </row>
    <row r="22">
      <c r="A22" s="85" t="inlineStr">
        <is>
          <t>Advertencias del pipeline:</t>
        </is>
      </c>
    </row>
    <row r="23">
      <c r="A23" s="62" t="inlineStr">
        <is>
          <t>• [IMFBCF] sin observaciones (estado: pendiente de token).</t>
        </is>
      </c>
    </row>
    <row r="24">
      <c r="A24" s="62" t="inlineStr">
        <is>
          <t>• [IOAE] sin observaciones (estado: pendiente de token).</t>
        </is>
      </c>
    </row>
    <row r="25">
      <c r="A25" s="62" t="inlineStr">
        <is>
          <t>• [EMIM] sin observaciones (estado: pendiente de token).</t>
        </is>
      </c>
    </row>
    <row r="26">
      <c r="A26" s="62" t="inlineStr">
        <is>
          <t>• [TIPOCAMBIO] sin observaciones (estado: pendiente de token).</t>
        </is>
      </c>
    </row>
    <row r="27">
      <c r="A27" s="62" t="inlineStr">
        <is>
          <t>• [TASA] sin observaciones (estado: pendiente de token).</t>
        </is>
      </c>
    </row>
    <row r="28">
      <c r="A28" s="62" t="inlineStr">
        <is>
          <t>• [RESERVAS] sin observaciones (estado: pendiente de token).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José Miguel Echave Bastidas</dc:creator>
  <dcterms:created xsi:type="dcterms:W3CDTF">2026-06-10T00:22:34Z</dcterms:created>
  <dcterms:modified xsi:type="dcterms:W3CDTF">2026-10-30T18:24:26Z</dcterms:modified>
  <cp:lastModifiedBy>José Miguel Echave Bastidas</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0x0101006B0653BA58BCE848972AE9BEE44246A5</vt:lpwstr>
  </property>
</Properties>
</file>